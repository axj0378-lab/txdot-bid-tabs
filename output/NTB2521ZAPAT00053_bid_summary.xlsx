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Summary" sheetId="1" state="visible" r:id="rId1"/>
    <sheet name="Extra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$#,##0.00;($#,##0.00);&quot;-&quot;"/>
    <numFmt numFmtId="166" formatCode="0.0%;-0.0%;&quot;-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595959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165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3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4" customWidth="1" min="4" max="4"/>
    <col width="15" customWidth="1" min="5" max="5"/>
    <col width="16" customWidth="1" min="6" max="6"/>
    <col width="15" customWidth="1" min="7" max="7"/>
    <col width="16" customWidth="1" min="8" max="8"/>
    <col width="15" customWidth="1" min="9" max="9"/>
    <col width="16" customWidth="1" min="10" max="10"/>
  </cols>
  <sheetData>
    <row r="1">
      <c r="A1" s="1" t="inlineStr">
        <is>
          <t>Bid Tabulation: Zapata County Airport</t>
        </is>
      </c>
    </row>
    <row r="3">
      <c r="A3" s="2" t="inlineStr">
        <is>
          <t>Project ID</t>
        </is>
      </c>
      <c r="B3" s="3" t="inlineStr">
        <is>
          <t>NTB2521ZAPAT00053</t>
        </is>
      </c>
    </row>
    <row r="4">
      <c r="A4" s="2" t="inlineStr">
        <is>
          <t>TxDOT CSJ #</t>
        </is>
      </c>
      <c r="B4" s="3" t="inlineStr">
        <is>
          <t>2521ZAPAT</t>
        </is>
      </c>
    </row>
    <row r="5">
      <c r="A5" s="2" t="inlineStr">
        <is>
          <t>Project Scope</t>
        </is>
      </c>
      <c r="B5" s="3" t="inlineStr">
        <is>
          <t>Airfield Pavement and Electrical Improvements</t>
        </is>
      </c>
    </row>
    <row r="6">
      <c r="A6" s="2" t="inlineStr">
        <is>
          <t>Description</t>
        </is>
      </c>
      <c r="B6" s="3" t="inlineStr">
        <is>
          <t>Zapata County Airport (APY) Airfield Pavement and Electrical Improvements</t>
        </is>
      </c>
    </row>
    <row r="7">
      <c r="A7" s="2" t="inlineStr">
        <is>
          <t>Bid Opening</t>
        </is>
      </c>
      <c r="B7" s="3" t="inlineStr">
        <is>
          <t>October 14, 2026 1:00 PM</t>
        </is>
      </c>
    </row>
    <row r="8">
      <c r="A8" s="2" t="inlineStr">
        <is>
          <t>Bid Opening Location</t>
        </is>
      </c>
      <c r="B8" s="3" t="inlineStr">
        <is>
          <t>TxDOT Stassney Campus</t>
        </is>
      </c>
    </row>
    <row r="9">
      <c r="A9" s="2" t="inlineStr">
        <is>
          <t>Number of Bidders</t>
        </is>
      </c>
      <c r="B9" s="3" t="n">
        <v>3</v>
      </c>
    </row>
    <row r="10">
      <c r="A10" s="2" t="inlineStr">
        <is>
          <t>Low Bidder</t>
        </is>
      </c>
      <c r="B10" s="4" t="inlineStr">
        <is>
          <t>Anderson Columbia Company, Inc.  ($5,660,055.00)</t>
        </is>
      </c>
    </row>
    <row r="12" ht="32" customHeight="1">
      <c r="A12" s="5" t="inlineStr">
        <is>
          <t>Item</t>
        </is>
      </c>
      <c r="B12" s="5" t="inlineStr">
        <is>
          <t>Qty</t>
        </is>
      </c>
      <c r="C12" s="5" t="inlineStr">
        <is>
          <t>Unit</t>
        </is>
      </c>
      <c r="D12" s="5" t="inlineStr">
        <is>
          <t>Description</t>
        </is>
      </c>
      <c r="E12" s="6" t="inlineStr">
        <is>
          <t>Anderson Columbia Company, Inc.
LOW BIDDER</t>
        </is>
      </c>
      <c r="F12" s="7" t="n"/>
      <c r="G12" s="8" t="inlineStr">
        <is>
          <t>Sterling Delaware Holding Company</t>
        </is>
      </c>
      <c r="H12" s="7" t="n"/>
      <c r="I12" s="8" t="inlineStr">
        <is>
          <t>Foremost Paving, Inc.</t>
        </is>
      </c>
      <c r="J12" s="7" t="n"/>
    </row>
    <row r="13">
      <c r="A13" s="7" t="n"/>
      <c r="B13" s="7" t="n"/>
      <c r="C13" s="7" t="n"/>
      <c r="D13" s="7" t="n"/>
      <c r="E13" s="9" t="inlineStr">
        <is>
          <t>Unit Price</t>
        </is>
      </c>
      <c r="F13" s="9" t="inlineStr">
        <is>
          <t>Total</t>
        </is>
      </c>
      <c r="G13" s="5" t="inlineStr">
        <is>
          <t>Unit Price</t>
        </is>
      </c>
      <c r="H13" s="5" t="inlineStr">
        <is>
          <t>Total</t>
        </is>
      </c>
      <c r="I13" s="5" t="inlineStr">
        <is>
          <t>Unit Price</t>
        </is>
      </c>
      <c r="J13" s="5" t="inlineStr">
        <is>
          <t>Total</t>
        </is>
      </c>
    </row>
    <row r="14">
      <c r="A14" s="10" t="inlineStr">
        <is>
          <t>C-105</t>
        </is>
      </c>
      <c r="B14" s="11" t="n">
        <v>1</v>
      </c>
      <c r="C14" s="10" t="inlineStr">
        <is>
          <t>LS</t>
        </is>
      </c>
      <c r="D14" s="12" t="inlineStr">
        <is>
          <t>CONTRACTOR MOBILIZATION (8%)</t>
        </is>
      </c>
      <c r="E14" s="13" t="n">
        <v>320000</v>
      </c>
      <c r="F14" s="13">
        <f>B14*E14</f>
        <v/>
      </c>
      <c r="G14" s="14" t="n">
        <v>500000</v>
      </c>
      <c r="H14" s="14">
        <f>B14*G14</f>
        <v/>
      </c>
      <c r="I14" s="14" t="n">
        <v>500000</v>
      </c>
      <c r="J14" s="14">
        <f>B14*I14</f>
        <v/>
      </c>
    </row>
    <row r="15">
      <c r="A15" s="10" t="inlineStr">
        <is>
          <t>C-100</t>
        </is>
      </c>
      <c r="B15" s="11" t="n">
        <v>1</v>
      </c>
      <c r="C15" s="10" t="inlineStr">
        <is>
          <t>LS</t>
        </is>
      </c>
      <c r="D15" s="12" t="inlineStr">
        <is>
          <t>CONTRACTOR QUALITY CONTROL PROGRAM</t>
        </is>
      </c>
      <c r="E15" s="13" t="n">
        <v>152000</v>
      </c>
      <c r="F15" s="13">
        <f>B15*E15</f>
        <v/>
      </c>
      <c r="G15" s="14" t="n">
        <v>150000</v>
      </c>
      <c r="H15" s="14">
        <f>B15*G15</f>
        <v/>
      </c>
      <c r="I15" s="14" t="n">
        <v>180000</v>
      </c>
      <c r="J15" s="14">
        <f>B15*I15</f>
        <v/>
      </c>
    </row>
    <row r="16">
      <c r="A16" s="10" t="inlineStr">
        <is>
          <t>C-102-5.1a</t>
        </is>
      </c>
      <c r="B16" s="11" t="n">
        <v>1</v>
      </c>
      <c r="C16" s="10" t="inlineStr">
        <is>
          <t>LS</t>
        </is>
      </c>
      <c r="D16" s="12" t="inlineStr">
        <is>
          <t>TEMPORARY AIR AND WATER POLLUTION, SOIL EROSION, AND SILTATION CONTROL</t>
        </is>
      </c>
      <c r="E16" s="13" t="n">
        <v>100000</v>
      </c>
      <c r="F16" s="13">
        <f>B16*E16</f>
        <v/>
      </c>
      <c r="G16" s="14" t="n">
        <v>98000</v>
      </c>
      <c r="H16" s="14">
        <f>B16*G16</f>
        <v/>
      </c>
      <c r="I16" s="14" t="n">
        <v>94435</v>
      </c>
      <c r="J16" s="14">
        <f>B16*I16</f>
        <v/>
      </c>
    </row>
    <row r="17">
      <c r="A17" s="10" t="inlineStr">
        <is>
          <t>P-140-3.1</t>
        </is>
      </c>
      <c r="B17" s="11" t="n">
        <v>1</v>
      </c>
      <c r="C17" s="10" t="inlineStr">
        <is>
          <t>LS</t>
        </is>
      </c>
      <c r="D17" s="12" t="inlineStr">
        <is>
          <t>TEMPORARY BARRICADES AND MARKING FOR PAVEMENT CLOSURE</t>
        </is>
      </c>
      <c r="E17" s="13" t="n">
        <v>18000</v>
      </c>
      <c r="F17" s="13">
        <f>B17*E17</f>
        <v/>
      </c>
      <c r="G17" s="14" t="n">
        <v>6800</v>
      </c>
      <c r="H17" s="14">
        <f>B17*G17</f>
        <v/>
      </c>
      <c r="I17" s="14" t="n">
        <v>151795.2</v>
      </c>
      <c r="J17" s="14">
        <f>B17*I17</f>
        <v/>
      </c>
    </row>
    <row r="18">
      <c r="A18" s="10" t="inlineStr">
        <is>
          <t>P-101-5.1</t>
        </is>
      </c>
      <c r="B18" s="11" t="n">
        <v>44600</v>
      </c>
      <c r="C18" s="10" t="inlineStr">
        <is>
          <t>SY</t>
        </is>
      </c>
      <c r="D18" s="12" t="inlineStr">
        <is>
          <t>PAVEMENT REMOVAL AND STOCKPILE</t>
        </is>
      </c>
      <c r="E18" s="13" t="n">
        <v>5.2</v>
      </c>
      <c r="F18" s="13">
        <f>B18*E18</f>
        <v/>
      </c>
      <c r="G18" s="14" t="n">
        <v>1.22</v>
      </c>
      <c r="H18" s="14">
        <f>B18*G18</f>
        <v/>
      </c>
      <c r="I18" s="14" t="n">
        <v>9.85</v>
      </c>
      <c r="J18" s="14">
        <f>B18*I18</f>
        <v/>
      </c>
    </row>
    <row r="19">
      <c r="A19" s="10" t="inlineStr">
        <is>
          <t>P-152-4.1</t>
        </is>
      </c>
      <c r="B19" s="11" t="n">
        <v>15</v>
      </c>
      <c r="C19" s="10" t="inlineStr">
        <is>
          <t>CY</t>
        </is>
      </c>
      <c r="D19" s="12" t="inlineStr">
        <is>
          <t>DRAINAGE EXCAVATION AND TRENCHING</t>
        </is>
      </c>
      <c r="E19" s="13" t="n">
        <v>44</v>
      </c>
      <c r="F19" s="13">
        <f>B19*E19</f>
        <v/>
      </c>
      <c r="G19" s="14" t="n">
        <v>100</v>
      </c>
      <c r="H19" s="14">
        <f>B19*G19</f>
        <v/>
      </c>
      <c r="I19" s="14" t="n">
        <v>38.5</v>
      </c>
      <c r="J19" s="14">
        <f>B19*I19</f>
        <v/>
      </c>
    </row>
    <row r="20">
      <c r="A20" s="10" t="inlineStr">
        <is>
          <t>P-152-4.4</t>
        </is>
      </c>
      <c r="B20" s="11" t="n">
        <v>60410</v>
      </c>
      <c r="C20" s="10" t="inlineStr">
        <is>
          <t>SY</t>
        </is>
      </c>
      <c r="D20" s="12" t="inlineStr">
        <is>
          <t>EXCAVATION, GRADING, AND SUBGRADE PREPARATION</t>
        </is>
      </c>
      <c r="E20" s="13" t="n">
        <v>1.7</v>
      </c>
      <c r="F20" s="13">
        <f>B20*E20</f>
        <v/>
      </c>
      <c r="G20" s="14" t="n">
        <v>4.7</v>
      </c>
      <c r="H20" s="14">
        <f>B20*G20</f>
        <v/>
      </c>
      <c r="I20" s="14" t="n">
        <v>4.36</v>
      </c>
      <c r="J20" s="14">
        <f>B20*I20</f>
        <v/>
      </c>
    </row>
    <row r="21">
      <c r="A21" s="10" t="inlineStr">
        <is>
          <t>P-152-4.2</t>
        </is>
      </c>
      <c r="B21" s="11" t="n">
        <v>880</v>
      </c>
      <c r="C21" s="10" t="inlineStr">
        <is>
          <t>CY</t>
        </is>
      </c>
      <c r="D21" s="12" t="inlineStr">
        <is>
          <t>EMBANKMENT IN PLACE</t>
        </is>
      </c>
      <c r="E21" s="13" t="n">
        <v>16</v>
      </c>
      <c r="F21" s="13">
        <f>B21*E21</f>
        <v/>
      </c>
      <c r="G21" s="14" t="n">
        <v>20</v>
      </c>
      <c r="H21" s="14">
        <f>B21*G21</f>
        <v/>
      </c>
      <c r="I21" s="14" t="n">
        <v>46.94</v>
      </c>
      <c r="J21" s="14">
        <f>B21*I21</f>
        <v/>
      </c>
    </row>
    <row r="22">
      <c r="A22" s="10" t="inlineStr">
        <is>
          <t>P-152-4.5</t>
        </is>
      </c>
      <c r="B22" s="11" t="n">
        <v>51550</v>
      </c>
      <c r="C22" s="10" t="inlineStr">
        <is>
          <t>SY</t>
        </is>
      </c>
      <c r="D22" s="12" t="inlineStr">
        <is>
          <t>GRADING IN UNPAVED AREAS</t>
        </is>
      </c>
      <c r="E22" s="13" t="n">
        <v>0.7</v>
      </c>
      <c r="F22" s="13">
        <f>B22*E22</f>
        <v/>
      </c>
      <c r="G22" s="14" t="n">
        <v>3.5</v>
      </c>
      <c r="H22" s="14">
        <f>B22*G22</f>
        <v/>
      </c>
      <c r="I22" s="14" t="n">
        <v>1.24</v>
      </c>
      <c r="J22" s="14">
        <f>B22*I22</f>
        <v/>
      </c>
    </row>
    <row r="23">
      <c r="A23" s="10" t="inlineStr">
        <is>
          <t>P-152-4.6</t>
        </is>
      </c>
      <c r="B23" s="11" t="n">
        <v>23620</v>
      </c>
      <c r="C23" s="10" t="inlineStr">
        <is>
          <t>SY</t>
        </is>
      </c>
      <c r="D23" s="12" t="inlineStr">
        <is>
          <t>TOPSOIL REMOVAL AND STOCKPILE (4-5 INCHES) TO REUSE</t>
        </is>
      </c>
      <c r="E23" s="13" t="n">
        <v>0.5</v>
      </c>
      <c r="F23" s="13">
        <f>B23*E23</f>
        <v/>
      </c>
      <c r="G23" s="14" t="n">
        <v>0.9</v>
      </c>
      <c r="H23" s="14">
        <f>B23*G23</f>
        <v/>
      </c>
      <c r="I23" s="14" t="n">
        <v>1.52</v>
      </c>
      <c r="J23" s="14">
        <f>B23*I23</f>
        <v/>
      </c>
    </row>
    <row r="24">
      <c r="A24" s="10" t="inlineStr">
        <is>
          <t>P-602-5.1</t>
        </is>
      </c>
      <c r="B24" s="11" t="n">
        <v>17680</v>
      </c>
      <c r="C24" s="10" t="inlineStr">
        <is>
          <t>GAL</t>
        </is>
      </c>
      <c r="D24" s="12" t="inlineStr">
        <is>
          <t>EMULSIFIED ASPHALT PRIME COAT (0.3 GAL/ SY)</t>
        </is>
      </c>
      <c r="E24" s="13" t="n">
        <v>6</v>
      </c>
      <c r="F24" s="13">
        <f>B24*E24</f>
        <v/>
      </c>
      <c r="G24" s="14" t="n">
        <v>6</v>
      </c>
      <c r="H24" s="14">
        <f>B24*G24</f>
        <v/>
      </c>
      <c r="I24" s="14" t="n">
        <v>9.119999999999999</v>
      </c>
      <c r="J24" s="14">
        <f>B24*I24</f>
        <v/>
      </c>
    </row>
    <row r="25">
      <c r="A25" s="10" t="inlineStr">
        <is>
          <t>P-603-5.1</t>
        </is>
      </c>
      <c r="B25" s="11" t="n">
        <v>5900</v>
      </c>
      <c r="C25" s="10" t="inlineStr">
        <is>
          <t>GAL</t>
        </is>
      </c>
      <c r="D25" s="12" t="inlineStr">
        <is>
          <t>EMULSIFIED ASPHALT TACK COAT (0.10 GAL/ SY)</t>
        </is>
      </c>
      <c r="E25" s="13" t="n">
        <v>5</v>
      </c>
      <c r="F25" s="13">
        <f>B25*E25</f>
        <v/>
      </c>
      <c r="G25" s="14" t="n">
        <v>5</v>
      </c>
      <c r="H25" s="14">
        <f>B25*G25</f>
        <v/>
      </c>
      <c r="I25" s="14" t="n">
        <v>9.720000000000001</v>
      </c>
      <c r="J25" s="14">
        <f>B25*I25</f>
        <v/>
      </c>
    </row>
    <row r="26">
      <c r="A26" s="10" t="inlineStr">
        <is>
          <t>P-620-5.1a</t>
        </is>
      </c>
      <c r="B26" s="11" t="n">
        <v>1</v>
      </c>
      <c r="C26" s="10" t="inlineStr">
        <is>
          <t>LS</t>
        </is>
      </c>
      <c r="D26" s="12" t="inlineStr">
        <is>
          <t>SAND BLAST, CLEAN, AND REMARK EXISTING SEGMENTED CIRCLE MARKER SYSTEM, INCLUDING REFLECTIVE MEDIA (BEADS)</t>
        </is>
      </c>
      <c r="E26" s="13" t="n">
        <v>10000</v>
      </c>
      <c r="F26" s="13">
        <f>B26*E26</f>
        <v/>
      </c>
      <c r="G26" s="14" t="n">
        <v>1545</v>
      </c>
      <c r="H26" s="14">
        <f>B26*G26</f>
        <v/>
      </c>
      <c r="I26" s="14" t="n">
        <v>9900</v>
      </c>
      <c r="J26" s="14">
        <f>B26*I26</f>
        <v/>
      </c>
    </row>
    <row r="27">
      <c r="A27" s="10" t="inlineStr">
        <is>
          <t>P-620-5.2b</t>
        </is>
      </c>
      <c r="B27" s="11" t="n">
        <v>42065</v>
      </c>
      <c r="C27" s="10" t="inlineStr">
        <is>
          <t>SF</t>
        </is>
      </c>
      <c r="D27" s="12" t="inlineStr">
        <is>
          <t>RUNWAY AND TAXIWAY MARKING INCLUDING REFLECTIVE MEDIA (BEADS)</t>
        </is>
      </c>
      <c r="E27" s="13" t="n">
        <v>1.8</v>
      </c>
      <c r="F27" s="13">
        <f>B27*E27</f>
        <v/>
      </c>
      <c r="G27" s="14" t="n">
        <v>0.91</v>
      </c>
      <c r="H27" s="14">
        <f>B27*G27</f>
        <v/>
      </c>
      <c r="I27" s="14" t="n">
        <v>1.27</v>
      </c>
      <c r="J27" s="14">
        <f>B27*I27</f>
        <v/>
      </c>
    </row>
    <row r="28">
      <c r="A28" s="10" t="inlineStr">
        <is>
          <t>TX-247-6.1</t>
        </is>
      </c>
      <c r="B28" s="11" t="n">
        <v>58930</v>
      </c>
      <c r="C28" s="10" t="inlineStr">
        <is>
          <t>SY</t>
        </is>
      </c>
      <c r="D28" s="12" t="inlineStr">
        <is>
          <t>GRADE 1-2, TYPE A CRUSHED AGGREGATE BASE COURSE (8-INCH THICKNESS)</t>
        </is>
      </c>
      <c r="E28" s="13" t="n">
        <v>32.6</v>
      </c>
      <c r="F28" s="13">
        <f>B28*E28</f>
        <v/>
      </c>
      <c r="G28" s="14" t="n">
        <v>42.5</v>
      </c>
      <c r="H28" s="14">
        <f>B28*G28</f>
        <v/>
      </c>
      <c r="I28" s="14" t="n">
        <v>49.66</v>
      </c>
      <c r="J28" s="14">
        <f>B28*I28</f>
        <v/>
      </c>
    </row>
    <row r="29">
      <c r="A29" s="10" t="inlineStr">
        <is>
          <t>TX-341</t>
        </is>
      </c>
      <c r="B29" s="11" t="n">
        <v>9770</v>
      </c>
      <c r="C29" s="10" t="inlineStr">
        <is>
          <t>TON</t>
        </is>
      </c>
      <c r="D29" s="12" t="inlineStr">
        <is>
          <t>HOT MIX ASPHALT, TYPE D (3- INCH THICKNESS), PLACED IN TWO 1.5-INCH LIFTS</t>
        </is>
      </c>
      <c r="E29" s="13" t="n">
        <v>126</v>
      </c>
      <c r="F29" s="13">
        <f>B29*E29</f>
        <v/>
      </c>
      <c r="G29" s="14" t="n">
        <v>190</v>
      </c>
      <c r="H29" s="14">
        <f>B29*G29</f>
        <v/>
      </c>
      <c r="I29" s="14" t="n">
        <v>206.42</v>
      </c>
      <c r="J29" s="14">
        <f>B29*I29</f>
        <v/>
      </c>
    </row>
    <row r="30">
      <c r="A30" s="10" t="inlineStr">
        <is>
          <t>D-701-5.1</t>
        </is>
      </c>
      <c r="B30" s="11" t="n">
        <v>15</v>
      </c>
      <c r="C30" s="10" t="inlineStr">
        <is>
          <t>LF</t>
        </is>
      </c>
      <c r="D30" s="12" t="inlineStr">
        <is>
          <t>EXTEND EXISTING 18-INCH REINFORCED CONCRETE PIPE (RCP), COMPLETE IN PLACE, INCLUDING REMOVAL OF EXISTING</t>
        </is>
      </c>
      <c r="E30" s="13" t="n">
        <v>280</v>
      </c>
      <c r="F30" s="13">
        <f>B30*E30</f>
        <v/>
      </c>
      <c r="G30" s="14" t="n">
        <v>500</v>
      </c>
      <c r="H30" s="14">
        <f>B30*G30</f>
        <v/>
      </c>
      <c r="I30" s="14" t="n">
        <v>632.5</v>
      </c>
      <c r="J30" s="14">
        <f>B30*I30</f>
        <v/>
      </c>
    </row>
    <row r="31">
      <c r="A31" s="10" t="inlineStr">
        <is>
          <t>D-752-5.1</t>
        </is>
      </c>
      <c r="B31" s="11" t="n">
        <v>1</v>
      </c>
      <c r="C31" s="10" t="inlineStr">
        <is>
          <t>EA</t>
        </is>
      </c>
      <c r="D31" s="12" t="inlineStr">
        <is>
          <t>REPLACE EXISTING CONCRETE- REINFORCED SAFETY END TREATMENT, FOR 18- INCH RCP PIPE, COMPLETE IN PLACE, INCLUDING REMOVAL OF EXISTING</t>
        </is>
      </c>
      <c r="E31" s="13" t="n">
        <v>4000</v>
      </c>
      <c r="F31" s="13">
        <f>B31*E31</f>
        <v/>
      </c>
      <c r="G31" s="14" t="n">
        <v>3800</v>
      </c>
      <c r="H31" s="14">
        <f>B31*G31</f>
        <v/>
      </c>
      <c r="I31" s="14" t="n">
        <v>5390</v>
      </c>
      <c r="J31" s="14">
        <f>B31*I31</f>
        <v/>
      </c>
    </row>
    <row r="32">
      <c r="A32" s="10" t="inlineStr">
        <is>
          <t>MC1-1</t>
        </is>
      </c>
      <c r="B32" s="11" t="n">
        <v>18</v>
      </c>
      <c r="C32" s="10" t="inlineStr">
        <is>
          <t>EA</t>
        </is>
      </c>
      <c r="D32" s="12" t="inlineStr">
        <is>
          <t>FURNISH AND INSTALL AIRCRAFT TIE- DOWN ANCHORS, COMPLETE</t>
        </is>
      </c>
      <c r="E32" s="13" t="n">
        <v>650</v>
      </c>
      <c r="F32" s="13">
        <f>B32*E32</f>
        <v/>
      </c>
      <c r="G32" s="14" t="n">
        <v>688.89</v>
      </c>
      <c r="H32" s="14">
        <f>B32*G32</f>
        <v/>
      </c>
      <c r="I32" s="14" t="n">
        <v>1430</v>
      </c>
      <c r="J32" s="14">
        <f>B32*I32</f>
        <v/>
      </c>
    </row>
    <row r="33">
      <c r="A33" s="10" t="inlineStr">
        <is>
          <t>T-901-5.1</t>
        </is>
      </c>
      <c r="B33" s="11" t="n">
        <v>11</v>
      </c>
      <c r="C33" s="10" t="inlineStr">
        <is>
          <t>AC</t>
        </is>
      </c>
      <c r="D33" s="12" t="inlineStr">
        <is>
          <t>SEEDING, FERTILIZING, AND WATERING, COMPLETE</t>
        </is>
      </c>
      <c r="E33" s="13" t="n">
        <v>6500</v>
      </c>
      <c r="F33" s="13">
        <f>B33*E33</f>
        <v/>
      </c>
      <c r="G33" s="14" t="n">
        <v>3500</v>
      </c>
      <c r="H33" s="14">
        <f>B33*G33</f>
        <v/>
      </c>
      <c r="I33" s="14" t="n">
        <v>3726.8</v>
      </c>
      <c r="J33" s="14">
        <f>B33*I33</f>
        <v/>
      </c>
    </row>
    <row r="34">
      <c r="A34" s="10" t="inlineStr">
        <is>
          <t>T-905-5.1</t>
        </is>
      </c>
      <c r="B34" s="11" t="n">
        <v>22700</v>
      </c>
      <c r="C34" s="10" t="inlineStr">
        <is>
          <t>SY</t>
        </is>
      </c>
      <c r="D34" s="12" t="inlineStr">
        <is>
          <t>TOPSOIL , OBTAINED ON SITE, STOCKPILED (4- TO 6-INCH MINIMUM), INCLUDE AMENDMENT, IN PLACE</t>
        </is>
      </c>
      <c r="E34" s="13" t="n">
        <v>1</v>
      </c>
      <c r="F34" s="13">
        <f>B34*E34</f>
        <v/>
      </c>
      <c r="G34" s="14" t="n">
        <v>1.1</v>
      </c>
      <c r="H34" s="14">
        <f>B34*G34</f>
        <v/>
      </c>
      <c r="I34" s="14" t="n">
        <v>1.29</v>
      </c>
      <c r="J34" s="14">
        <f>B34*I34</f>
        <v/>
      </c>
    </row>
    <row r="35">
      <c r="A35" s="10" t="inlineStr">
        <is>
          <t>L-101-5.1</t>
        </is>
      </c>
      <c r="B35" s="11" t="n">
        <v>1</v>
      </c>
      <c r="C35" s="10" t="inlineStr">
        <is>
          <t>LS</t>
        </is>
      </c>
      <c r="D35" s="12" t="inlineStr">
        <is>
          <t>FURNISH AND INSTALL 1-801 A(L), LED CLASS 1 ROTATING BEACON INCLUDING REMOVAL OF EXISTING BEACON, IN-PLACE AND ALL ELECTRICAL CONSTRUCTION</t>
        </is>
      </c>
      <c r="E35" s="13" t="n">
        <v>16000</v>
      </c>
      <c r="F35" s="13">
        <f>B35*E35</f>
        <v/>
      </c>
      <c r="G35" s="14" t="n">
        <v>29032.4</v>
      </c>
      <c r="H35" s="14">
        <f>B35*G35</f>
        <v/>
      </c>
      <c r="I35" s="14" t="n">
        <v>16500</v>
      </c>
      <c r="J35" s="14">
        <f>B35*I35</f>
        <v/>
      </c>
    </row>
    <row r="36">
      <c r="A36" s="10" t="inlineStr">
        <is>
          <t>L-103-5.1</t>
        </is>
      </c>
      <c r="B36" s="11" t="n">
        <v>1</v>
      </c>
      <c r="C36" s="10" t="inlineStr">
        <is>
          <t>LS</t>
        </is>
      </c>
      <c r="D36" s="12" t="inlineStr">
        <is>
          <t>FURNISH AND INSTALL 50-FOOT TIP-DOWN TOWER AND FOUNDATION, INCLUDING REMOVAL OF EXISTING TOWER IN-PLACE AND ALL ELECTRICAL CONSTRUCTION</t>
        </is>
      </c>
      <c r="E36" s="13" t="n">
        <v>67000</v>
      </c>
      <c r="F36" s="13">
        <f>B36*E36</f>
        <v/>
      </c>
      <c r="G36" s="14" t="n">
        <v>55061.44</v>
      </c>
      <c r="H36" s="14">
        <f>B36*G36</f>
        <v/>
      </c>
      <c r="I36" s="14" t="n">
        <v>68200</v>
      </c>
      <c r="J36" s="14">
        <f>B36*I36</f>
        <v/>
      </c>
    </row>
    <row r="37">
      <c r="A37" s="10" t="inlineStr">
        <is>
          <t>L-107-5.1</t>
        </is>
      </c>
      <c r="B37" s="11" t="n">
        <v>1</v>
      </c>
      <c r="C37" s="10" t="inlineStr">
        <is>
          <t>EA</t>
        </is>
      </c>
      <c r="D37" s="12" t="inlineStr">
        <is>
          <t>FURNISH AND INSTALL LED 1-B INTERNALLY LIGHTED, FAA SIZE 2 WIND CONE AND FOUNDATION ON TILT-OVER MAST, INCLUDING REMOVAL OF EXISTING WIND CONE, FOUNDATION AND ALL ELECTRICAL CONSTRUCTION</t>
        </is>
      </c>
      <c r="E37" s="13" t="n">
        <v>18000</v>
      </c>
      <c r="F37" s="13">
        <f>B37*E37</f>
        <v/>
      </c>
      <c r="G37" s="14" t="n">
        <v>16017.87</v>
      </c>
      <c r="H37" s="14">
        <f>B37*G37</f>
        <v/>
      </c>
      <c r="I37" s="14" t="n">
        <v>18700</v>
      </c>
      <c r="J37" s="14">
        <f>B37*I37</f>
        <v/>
      </c>
    </row>
    <row r="38">
      <c r="A38" s="10" t="inlineStr">
        <is>
          <t>L-108-5.1</t>
        </is>
      </c>
      <c r="B38" s="11" t="n">
        <v>12300</v>
      </c>
      <c r="C38" s="10" t="inlineStr">
        <is>
          <t>LF</t>
        </is>
      </c>
      <c r="D38" s="12" t="inlineStr">
        <is>
          <t>TRENCHING, BACKFILL, AND COMPACT FOR PVC CONDUIT, 24-INCH MINIMUM DEPTH</t>
        </is>
      </c>
      <c r="E38" s="13" t="n">
        <v>9.699999999999999</v>
      </c>
      <c r="F38" s="13">
        <f>B38*E38</f>
        <v/>
      </c>
      <c r="G38" s="14" t="n">
        <v>7.51</v>
      </c>
      <c r="H38" s="14">
        <f>B38*G38</f>
        <v/>
      </c>
      <c r="I38" s="14" t="n">
        <v>9.9</v>
      </c>
      <c r="J38" s="14">
        <f>B38*I38</f>
        <v/>
      </c>
    </row>
    <row r="39">
      <c r="A39" s="10" t="inlineStr">
        <is>
          <t>L-108-5.2</t>
        </is>
      </c>
      <c r="B39" s="11" t="n">
        <v>660</v>
      </c>
      <c r="C39" s="10" t="inlineStr">
        <is>
          <t>LF</t>
        </is>
      </c>
      <c r="D39" s="12" t="inlineStr">
        <is>
          <t>TRENCHING, BACKFILL, AND COMPACT FOR PVC CONDUIT, 40-INCH MINIMUM DEPTH</t>
        </is>
      </c>
      <c r="E39" s="13" t="n">
        <v>14</v>
      </c>
      <c r="F39" s="13">
        <f>B39*E39</f>
        <v/>
      </c>
      <c r="G39" s="14" t="n">
        <v>20.02</v>
      </c>
      <c r="H39" s="14">
        <f>B39*G39</f>
        <v/>
      </c>
      <c r="I39" s="14" t="n">
        <v>14.3</v>
      </c>
      <c r="J39" s="14">
        <f>B39*I39</f>
        <v/>
      </c>
    </row>
    <row r="40">
      <c r="A40" s="10" t="inlineStr">
        <is>
          <t>L-108-5.3</t>
        </is>
      </c>
      <c r="B40" s="11" t="n">
        <v>14700</v>
      </c>
      <c r="C40" s="10" t="inlineStr">
        <is>
          <t>LF</t>
        </is>
      </c>
      <c r="D40" s="12" t="inlineStr">
        <is>
          <t>NO. 8 AWG 5KV, L-824 TYPE C CABLE, INSTALLED IN TRENCH, DUCT BANK OR CONDUIT, EDGE LIGHTS</t>
        </is>
      </c>
      <c r="E40" s="13" t="n">
        <v>2.7</v>
      </c>
      <c r="F40" s="13">
        <f>B40*E40</f>
        <v/>
      </c>
      <c r="G40" s="14" t="n">
        <v>3.5</v>
      </c>
      <c r="H40" s="14">
        <f>B40*G40</f>
        <v/>
      </c>
      <c r="I40" s="14" t="n">
        <v>2.75</v>
      </c>
      <c r="J40" s="14">
        <f>B40*I40</f>
        <v/>
      </c>
    </row>
    <row r="41">
      <c r="A41" s="10" t="inlineStr">
        <is>
          <t>L-108-5.4</t>
        </is>
      </c>
      <c r="B41" s="11" t="n">
        <v>9070</v>
      </c>
      <c r="C41" s="10" t="inlineStr">
        <is>
          <t>LF</t>
        </is>
      </c>
      <c r="D41" s="12" t="inlineStr">
        <is>
          <t>NO. 8 AWG SKV, L-824 TYPE C CABLE, INSTALLED IN TRENCH, DUCT BANK, OR CONDUIT, PAPI-2</t>
        </is>
      </c>
      <c r="E41" s="13" t="n">
        <v>2.7</v>
      </c>
      <c r="F41" s="13">
        <f>B41*E41</f>
        <v/>
      </c>
      <c r="G41" s="14" t="n">
        <v>3.5</v>
      </c>
      <c r="H41" s="14">
        <f>B41*G41</f>
        <v/>
      </c>
      <c r="I41" s="14" t="n">
        <v>2.75</v>
      </c>
      <c r="J41" s="14">
        <f>B41*I41</f>
        <v/>
      </c>
    </row>
    <row r="42">
      <c r="A42" s="10" t="inlineStr">
        <is>
          <t>L-108-5.5</t>
        </is>
      </c>
      <c r="B42" s="11" t="n">
        <v>14470</v>
      </c>
      <c r="C42" s="10" t="inlineStr">
        <is>
          <t>LF</t>
        </is>
      </c>
      <c r="D42" s="12" t="inlineStr">
        <is>
          <t>NO. 6 AWG, SOLID, BARE COPPER GROUND WIRE W/ GROUNDING RODS, INSTALLED ABOVE DUCT BANK OR CONDUIT, INCLUDING CONNECTIONS/TERMINATIONS</t>
        </is>
      </c>
      <c r="E42" s="13" t="n">
        <v>2.7</v>
      </c>
      <c r="F42" s="13">
        <f>B42*E42</f>
        <v/>
      </c>
      <c r="G42" s="14" t="n">
        <v>4.51</v>
      </c>
      <c r="H42" s="14">
        <f>B42*G42</f>
        <v/>
      </c>
      <c r="I42" s="14" t="n">
        <v>2.75</v>
      </c>
      <c r="J42" s="14">
        <f>B42*I42</f>
        <v/>
      </c>
    </row>
    <row r="43">
      <c r="A43" s="10" t="inlineStr">
        <is>
          <t>L-108-5.6</t>
        </is>
      </c>
      <c r="B43" s="11" t="n">
        <v>400</v>
      </c>
      <c r="C43" s="10" t="inlineStr">
        <is>
          <t>LF</t>
        </is>
      </c>
      <c r="D43" s="12" t="inlineStr">
        <is>
          <t>NO. 6 AWG, INSULATED, STRANDED EQUIPMENT BONDING, INSTALLED IN DUCT BANK OR CONDUIT</t>
        </is>
      </c>
      <c r="E43" s="13" t="n">
        <v>2.7</v>
      </c>
      <c r="F43" s="13">
        <f>B43*E43</f>
        <v/>
      </c>
      <c r="G43" s="14" t="n">
        <v>5.01</v>
      </c>
      <c r="H43" s="14">
        <f>B43*G43</f>
        <v/>
      </c>
      <c r="I43" s="14" t="n">
        <v>2.75</v>
      </c>
      <c r="J43" s="14">
        <f>B43*I43</f>
        <v/>
      </c>
    </row>
    <row r="44">
      <c r="A44" s="10" t="inlineStr">
        <is>
          <t>L-108-5.7</t>
        </is>
      </c>
      <c r="B44" s="11" t="n">
        <v>60</v>
      </c>
      <c r="C44" s="10" t="inlineStr">
        <is>
          <t>LF</t>
        </is>
      </c>
      <c r="D44" s="12" t="inlineStr">
        <is>
          <t>INSTALL NO. 4/0 AWG VAULT COUNTERPOISE COMPLETE WITH TRENCH, GROUND RODS, AND EXOTHERMIC BONDING, AROUND NEW VAULT</t>
        </is>
      </c>
      <c r="E44" s="13" t="n">
        <v>20</v>
      </c>
      <c r="F44" s="13">
        <f>B44*E44</f>
        <v/>
      </c>
      <c r="G44" s="14" t="n">
        <v>50.06</v>
      </c>
      <c r="H44" s="14">
        <f>B44*G44</f>
        <v/>
      </c>
      <c r="I44" s="14" t="n">
        <v>20.9</v>
      </c>
      <c r="J44" s="14">
        <f>B44*I44</f>
        <v/>
      </c>
    </row>
    <row r="45">
      <c r="A45" s="10" t="inlineStr">
        <is>
          <t>L-109-7.1</t>
        </is>
      </c>
      <c r="B45" s="11" t="n">
        <v>1</v>
      </c>
      <c r="C45" s="10" t="inlineStr">
        <is>
          <t>EA</t>
        </is>
      </c>
      <c r="D45" s="12" t="inlineStr">
        <is>
          <t>FURNISH AND INSTALL NEW 7.5KW, 6.6 AMP, THREE-STEP CONSTANT CURRENT REGULATOR WITH OUTPUT VOLTMETER AND AMMETER, MIRLS</t>
        </is>
      </c>
      <c r="E45" s="13" t="n">
        <v>19000</v>
      </c>
      <c r="F45" s="13">
        <f>B45*E45</f>
        <v/>
      </c>
      <c r="G45" s="14" t="n">
        <v>25027.93</v>
      </c>
      <c r="H45" s="14">
        <f>B45*G45</f>
        <v/>
      </c>
      <c r="I45" s="14" t="n">
        <v>19800</v>
      </c>
      <c r="J45" s="14">
        <f>B45*I45</f>
        <v/>
      </c>
    </row>
    <row r="46">
      <c r="A46" s="10" t="inlineStr">
        <is>
          <t>L-109-7.2</t>
        </is>
      </c>
      <c r="B46" s="11" t="n">
        <v>1</v>
      </c>
      <c r="C46" s="10" t="inlineStr">
        <is>
          <t>EA</t>
        </is>
      </c>
      <c r="D46" s="12" t="inlineStr">
        <is>
          <t>FURNISH AND INSTALL 2.0KW, 6.6 AMP, THREE-STEP CONSTANT CURRENT REGULATOR WITH OUTPUT VOLTMETER AND AMMETER, PAPI-2</t>
        </is>
      </c>
      <c r="E46" s="13" t="n">
        <v>14000</v>
      </c>
      <c r="F46" s="13">
        <f>B46*E46</f>
        <v/>
      </c>
      <c r="G46" s="14" t="n">
        <v>23025.69</v>
      </c>
      <c r="H46" s="14">
        <f>B46*G46</f>
        <v/>
      </c>
      <c r="I46" s="14" t="n">
        <v>13700.5</v>
      </c>
      <c r="J46" s="14">
        <f>B46*I46</f>
        <v/>
      </c>
    </row>
    <row r="47">
      <c r="A47" s="10" t="inlineStr">
        <is>
          <t>L-109-7.3</t>
        </is>
      </c>
      <c r="B47" s="11" t="n">
        <v>1</v>
      </c>
      <c r="C47" s="10" t="inlineStr">
        <is>
          <t>EA</t>
        </is>
      </c>
      <c r="D47" s="12" t="inlineStr">
        <is>
          <t>FURNISH AND INSTALL NEW L-854 RADIO CONTROLLER AND EXTERNAL ANTENNA MOUNTED ON VAULT</t>
        </is>
      </c>
      <c r="E47" s="13" t="n">
        <v>7000</v>
      </c>
      <c r="F47" s="13">
        <f>B47*E47</f>
        <v/>
      </c>
      <c r="G47" s="14" t="n">
        <v>7508.38</v>
      </c>
      <c r="H47" s="14">
        <f>B47*G47</f>
        <v/>
      </c>
      <c r="I47" s="14" t="n">
        <v>7315</v>
      </c>
      <c r="J47" s="14">
        <f>B47*I47</f>
        <v/>
      </c>
    </row>
    <row r="48">
      <c r="A48" s="10" t="inlineStr">
        <is>
          <t>L-109-PLANS</t>
        </is>
      </c>
      <c r="B48" s="11" t="n">
        <v>1</v>
      </c>
      <c r="C48" s="10" t="inlineStr">
        <is>
          <t>EA</t>
        </is>
      </c>
      <c r="D48" s="12" t="inlineStr">
        <is>
          <t>FURNISH AND INSTALL NEW PHOTOELECTRIC CONTROLLER</t>
        </is>
      </c>
      <c r="E48" s="13" t="n">
        <v>1800</v>
      </c>
      <c r="F48" s="13">
        <f>B48*E48</f>
        <v/>
      </c>
      <c r="G48" s="14" t="n">
        <v>5005.59</v>
      </c>
      <c r="H48" s="14">
        <f>B48*G48</f>
        <v/>
      </c>
      <c r="I48" s="14" t="n">
        <v>1870</v>
      </c>
      <c r="J48" s="14">
        <f>B48*I48</f>
        <v/>
      </c>
    </row>
    <row r="49">
      <c r="A49" s="10" t="inlineStr">
        <is>
          <t>L-109-7.4</t>
        </is>
      </c>
      <c r="B49" s="11" t="n">
        <v>1</v>
      </c>
      <c r="C49" s="10" t="inlineStr">
        <is>
          <t>LS</t>
        </is>
      </c>
      <c r="D49" s="12" t="inlineStr">
        <is>
          <t>CONSTRUCTION OF 10- X 12-FOOT PREFABRICATED CONCRETE BUILDING AND FOUNDATION IN PLACE</t>
        </is>
      </c>
      <c r="E49" s="13" t="n">
        <v>200000</v>
      </c>
      <c r="F49" s="13">
        <f>B49*E49</f>
        <v/>
      </c>
      <c r="G49" s="14" t="n">
        <v>150167.57</v>
      </c>
      <c r="H49" s="14">
        <f>B49*G49</f>
        <v/>
      </c>
      <c r="I49" s="14" t="n">
        <v>19800</v>
      </c>
      <c r="J49" s="14">
        <f>B49*I49</f>
        <v/>
      </c>
    </row>
    <row r="50">
      <c r="A50" s="10" t="inlineStr">
        <is>
          <t>L-110-5.1</t>
        </is>
      </c>
      <c r="B50" s="11" t="n">
        <v>12300</v>
      </c>
      <c r="C50" s="10" t="inlineStr">
        <is>
          <t>LF</t>
        </is>
      </c>
      <c r="D50" s="12" t="inlineStr">
        <is>
          <t>INSTALL NON-ENCASED ELECTRICAL CONDUIT, 2-INCH SCH 40 PVC, IN TRENCH</t>
        </is>
      </c>
      <c r="E50" s="13" t="n">
        <v>4.5</v>
      </c>
      <c r="F50" s="13">
        <f>B50*E50</f>
        <v/>
      </c>
      <c r="G50" s="14" t="n">
        <v>3</v>
      </c>
      <c r="H50" s="14">
        <f>B50*G50</f>
        <v/>
      </c>
      <c r="I50" s="14" t="n">
        <v>4.68</v>
      </c>
      <c r="J50" s="14">
        <f>B50*I50</f>
        <v/>
      </c>
    </row>
    <row r="51">
      <c r="A51" s="10" t="inlineStr">
        <is>
          <t>L-110-5.2</t>
        </is>
      </c>
      <c r="B51" s="11" t="n">
        <v>660</v>
      </c>
      <c r="C51" s="10" t="inlineStr">
        <is>
          <t>LF</t>
        </is>
      </c>
      <c r="D51" s="12" t="inlineStr">
        <is>
          <t>CONCRETE-ENCASED ELECTRICAL CONDUIT DUCT BANK, NEW TWO 2-INCH SCH 40, PVC, IN TRENCH</t>
        </is>
      </c>
      <c r="E51" s="13" t="n">
        <v>32</v>
      </c>
      <c r="F51" s="13">
        <f>B51*E51</f>
        <v/>
      </c>
      <c r="G51" s="14" t="n">
        <v>30.03</v>
      </c>
      <c r="H51" s="14">
        <f>B51*G51</f>
        <v/>
      </c>
      <c r="I51" s="14" t="n">
        <v>33</v>
      </c>
      <c r="J51" s="14">
        <f>B51*I51</f>
        <v/>
      </c>
    </row>
    <row r="52">
      <c r="A52" s="10" t="inlineStr">
        <is>
          <t>L-115.1</t>
        </is>
      </c>
      <c r="B52" s="11" t="n">
        <v>15</v>
      </c>
      <c r="C52" s="10" t="inlineStr">
        <is>
          <t>EA</t>
        </is>
      </c>
      <c r="D52" s="12" t="inlineStr">
        <is>
          <t>ELECTRICAL HANDHOLE, 12X24 INCHES, L-867B, WITH CONCRETE ENCASEMENT</t>
        </is>
      </c>
      <c r="E52" s="13" t="n">
        <v>2000</v>
      </c>
      <c r="F52" s="13">
        <f>B52*E52</f>
        <v/>
      </c>
      <c r="G52" s="14" t="n">
        <v>1201.34</v>
      </c>
      <c r="H52" s="14">
        <f>B52*G52</f>
        <v/>
      </c>
      <c r="I52" s="14" t="n">
        <v>2200</v>
      </c>
      <c r="J52" s="14">
        <f>B52*I52</f>
        <v/>
      </c>
    </row>
    <row r="53">
      <c r="A53" s="10" t="inlineStr">
        <is>
          <t>L-115.2</t>
        </is>
      </c>
      <c r="B53" s="11" t="n">
        <v>3</v>
      </c>
      <c r="C53" s="10" t="inlineStr">
        <is>
          <t>EA</t>
        </is>
      </c>
      <c r="D53" s="12" t="inlineStr">
        <is>
          <t>HEAVY-DUTY ELECTRICAL BOX WITH LID, 17X30X24 INCHES, AT VAULT BUILDING</t>
        </is>
      </c>
      <c r="E53" s="13" t="n">
        <v>4500</v>
      </c>
      <c r="F53" s="13">
        <f>B53*E53</f>
        <v/>
      </c>
      <c r="G53" s="14" t="n">
        <v>3003.35</v>
      </c>
      <c r="H53" s="14">
        <f>B53*G53</f>
        <v/>
      </c>
      <c r="I53" s="14" t="n">
        <v>4950</v>
      </c>
      <c r="J53" s="14">
        <f>B53*I53</f>
        <v/>
      </c>
    </row>
    <row r="54">
      <c r="A54" s="10" t="inlineStr">
        <is>
          <t>L-125.1</t>
        </is>
      </c>
      <c r="B54" s="11" t="n">
        <v>118</v>
      </c>
      <c r="C54" s="10" t="n"/>
      <c r="D54" s="12" t="inlineStr">
        <is>
          <t>REMOVE AND DISPOSE OFF SITE, EXISTING STAKE-MOUNTED RUNWAY EDGE ‘LIGHTS FIXTURES (INCLUDING ALL UNDERGROUND ‘CONDUIT, WIRING CONNECTIONS, AND BOXES), MIRLS</t>
        </is>
      </c>
      <c r="E54" s="13" t="n">
        <v>180</v>
      </c>
      <c r="F54" s="13">
        <f>B54*E54</f>
        <v/>
      </c>
      <c r="G54" s="14" t="n">
        <v>200.22</v>
      </c>
      <c r="H54" s="14">
        <f>B54*G54</f>
        <v/>
      </c>
      <c r="I54" s="14" t="n">
        <v>192.5</v>
      </c>
      <c r="J54" s="14">
        <f>B54*I54</f>
        <v/>
      </c>
    </row>
    <row r="55">
      <c r="A55" s="10" t="inlineStr">
        <is>
          <t>L-125.2</t>
        </is>
      </c>
      <c r="B55" s="11" t="n">
        <v>11</v>
      </c>
      <c r="C55" s="10" t="inlineStr">
        <is>
          <t>EA</t>
        </is>
      </c>
      <c r="D55" s="12" t="inlineStr">
        <is>
          <t>REMOVE AND DISPOSE OFF SITE, EXISTING DIRECTIONAL SIGNAGE {INCLUDING ALL UNDERGROUND CONDUIT, WIRING CONNECTIONS, BOXES, AND CONCRETE PADS)</t>
        </is>
      </c>
      <c r="E55" s="13" t="n">
        <v>600</v>
      </c>
      <c r="F55" s="13">
        <f>B55*E55</f>
        <v/>
      </c>
      <c r="G55" s="14" t="n">
        <v>500.56</v>
      </c>
      <c r="H55" s="14">
        <f>B55*G55</f>
        <v/>
      </c>
      <c r="I55" s="14" t="n">
        <v>660</v>
      </c>
      <c r="J55" s="14">
        <f>B55*I55</f>
        <v/>
      </c>
    </row>
    <row r="56">
      <c r="A56" s="10" t="inlineStr">
        <is>
          <t>L-125-3</t>
        </is>
      </c>
      <c r="B56" s="11" t="n">
        <v>4</v>
      </c>
      <c r="C56" s="10" t="inlineStr">
        <is>
          <t>EA</t>
        </is>
      </c>
      <c r="D56" s="12" t="inlineStr">
        <is>
          <t>REMOVE AND DISPOSE OFF SITE, EXISTING REILS UNITS ON RWY 12-30 END {INCLUDING ALL UNDERGROUND CONDUIT, WIRING CONNECTIONS, BOXES, AND CONCRETE FOUNDATION PADS)</t>
        </is>
      </c>
      <c r="E56" s="13" t="n">
        <v>900</v>
      </c>
      <c r="F56" s="13">
        <f>B56*E56</f>
        <v/>
      </c>
      <c r="G56" s="14" t="n">
        <v>1001.12</v>
      </c>
      <c r="H56" s="14">
        <f>B56*G56</f>
        <v/>
      </c>
      <c r="I56" s="14" t="n">
        <v>990</v>
      </c>
      <c r="J56" s="14">
        <f>B56*I56</f>
        <v/>
      </c>
    </row>
    <row r="57">
      <c r="A57" s="10" t="inlineStr">
        <is>
          <t>L-125-4</t>
        </is>
      </c>
      <c r="B57" s="11" t="n">
        <v>45</v>
      </c>
      <c r="C57" s="10" t="inlineStr">
        <is>
          <t>EA</t>
        </is>
      </c>
      <c r="D57" s="12" t="inlineStr">
        <is>
          <t>L-861, INSTALL LED MEDIUM INTENSITY RUNWAY EDGE LIGHTS (WHITE/WHITE, 6-UNITS) AND (YELLOW/WHITE, 39-UNITS), BASE MOUNTED ON CONCRETE-ENCASED CAN</t>
        </is>
      </c>
      <c r="E57" s="13" t="n">
        <v>2600</v>
      </c>
      <c r="F57" s="13">
        <f>B57*E57</f>
        <v/>
      </c>
      <c r="G57" s="14" t="n">
        <v>1501.68</v>
      </c>
      <c r="H57" s="14">
        <f>B57*G57</f>
        <v/>
      </c>
      <c r="I57" s="14" t="n">
        <v>2860</v>
      </c>
      <c r="J57" s="14">
        <f>B57*I57</f>
        <v/>
      </c>
    </row>
    <row r="58">
      <c r="A58" s="10" t="inlineStr">
        <is>
          <t>L-125-5</t>
        </is>
      </c>
      <c r="B58" s="11" t="n">
        <v>32</v>
      </c>
      <c r="C58" s="10" t="inlineStr">
        <is>
          <t>EA</t>
        </is>
      </c>
      <c r="D58" s="12" t="inlineStr">
        <is>
          <t>INSTALL LED MEDIUM INTENSITY RUNWAY THRESHOLD LIGHTS (RED/RED, 16- UNITS), (BLANK/GREEN, 12-UNITS), AND EDGE LIGHTS (YELLOW/GREEN, 4-UNITS) BASED MOUNTED ON CONCRETE-ENCASED CAN, AS SPECIFIED ON PLANS</t>
        </is>
      </c>
      <c r="E58" s="13" t="n">
        <v>2600</v>
      </c>
      <c r="F58" s="13">
        <f>B58*E58</f>
        <v/>
      </c>
      <c r="G58" s="14" t="n">
        <v>1802.01</v>
      </c>
      <c r="H58" s="14">
        <f>B58*G58</f>
        <v/>
      </c>
      <c r="I58" s="14" t="n">
        <v>2860</v>
      </c>
      <c r="J58" s="14">
        <f>B58*I58</f>
        <v/>
      </c>
    </row>
    <row r="59">
      <c r="A59" s="10" t="inlineStr">
        <is>
          <t>L-125-6</t>
        </is>
      </c>
      <c r="B59" s="11" t="n">
        <v>10</v>
      </c>
      <c r="C59" s="10" t="inlineStr">
        <is>
          <t>EA</t>
        </is>
      </c>
      <c r="D59" s="12" t="inlineStr">
        <is>
          <t>ONE MODULE, SIZE 1, STYLE 2, INTERNALLY LIGHTED LED GUIDANCE SIGN, BASE MOUNTED ON CONCRETE-ENCASED CAN</t>
        </is>
      </c>
      <c r="E59" s="13" t="n">
        <v>7000</v>
      </c>
      <c r="F59" s="13">
        <f>B59*E59</f>
        <v/>
      </c>
      <c r="G59" s="14" t="n">
        <v>4505.03</v>
      </c>
      <c r="H59" s="14">
        <f>B59*G59</f>
        <v/>
      </c>
      <c r="I59" s="14" t="n">
        <v>7700</v>
      </c>
      <c r="J59" s="14">
        <f>B59*I59</f>
        <v/>
      </c>
    </row>
    <row r="60">
      <c r="A60" s="10" t="inlineStr">
        <is>
          <t>L-125-8</t>
        </is>
      </c>
      <c r="B60" s="11" t="n">
        <v>1</v>
      </c>
      <c r="C60" s="10" t="inlineStr">
        <is>
          <t>EA</t>
        </is>
      </c>
      <c r="D60" s="12" t="inlineStr">
        <is>
          <t>THREE MODULE, SIZE 1, STYLE 2, INTERNALLY LIGHTED LED GUIDANCE SIGN, BASE MOUNTED ON CONCRETE-ENCASED CAN</t>
        </is>
      </c>
      <c r="E60" s="13" t="n">
        <v>11000</v>
      </c>
      <c r="F60" s="13">
        <f>B60*E60</f>
        <v/>
      </c>
      <c r="G60" s="14" t="n">
        <v>6006.7</v>
      </c>
      <c r="H60" s="14">
        <f>B60*G60</f>
        <v/>
      </c>
      <c r="I60" s="14" t="n">
        <v>11275</v>
      </c>
      <c r="J60" s="14">
        <f>B60*I60</f>
        <v/>
      </c>
    </row>
    <row r="61">
      <c r="A61" s="10" t="inlineStr">
        <is>
          <t>L-125-9</t>
        </is>
      </c>
      <c r="B61" s="11" t="n">
        <v>2</v>
      </c>
      <c r="C61" s="10" t="inlineStr">
        <is>
          <t>EA</t>
        </is>
      </c>
      <c r="D61" s="12" t="inlineStr">
        <is>
          <t>INSTALL NEW L-881, PAPI-2, STYLE B, LED TILUMINATION, EQUIPPED WITH INTERNAL ADJUSTABLE BAFFLES, MOUNTED ON CONCRETE FOUNDATIONS, COMPLETE, INCLUDING ADJUSTMENTS DURING FAA FLIGHT INSPECTION</t>
        </is>
      </c>
      <c r="E61" s="13" t="n">
        <v>28000</v>
      </c>
      <c r="F61" s="13">
        <f>B61*E61</f>
        <v/>
      </c>
      <c r="G61" s="14" t="n">
        <v>35039.1</v>
      </c>
      <c r="H61" s="14">
        <f>B61*G61</f>
        <v/>
      </c>
      <c r="I61" s="14" t="n">
        <v>28050</v>
      </c>
      <c r="J61" s="14">
        <f>B61*I61</f>
        <v/>
      </c>
    </row>
    <row r="62">
      <c r="A62" s="10" t="inlineStr">
        <is>
          <t>L-125-10</t>
        </is>
      </c>
      <c r="B62" s="11" t="n">
        <v>139</v>
      </c>
      <c r="C62" s="10" t="inlineStr">
        <is>
          <t>EA</t>
        </is>
      </c>
      <c r="D62" s="12" t="inlineStr">
        <is>
          <t>INSTALL L-853 TAXIWAY REFLECTIVE MARKERS (BLUE 86-UNITS AND GREEN 53-UNITS) AS SPECIFIED ON PLANS, COMPLETE IN PLACE</t>
        </is>
      </c>
      <c r="E62" s="13" t="n">
        <v>20</v>
      </c>
      <c r="F62" s="13">
        <f>B62*E62</f>
        <v/>
      </c>
      <c r="G62" s="14" t="n">
        <v>19</v>
      </c>
      <c r="H62" s="14">
        <f>B62*G62</f>
        <v/>
      </c>
      <c r="I62" s="14" t="n">
        <v>165</v>
      </c>
      <c r="J62" s="14">
        <f>B62*I62</f>
        <v/>
      </c>
    </row>
    <row r="63">
      <c r="A63" s="10" t="inlineStr">
        <is>
          <t>P-610-6.2</t>
        </is>
      </c>
      <c r="B63" s="11" t="n">
        <v>2</v>
      </c>
      <c r="C63" s="10" t="inlineStr">
        <is>
          <t>EA</t>
        </is>
      </c>
      <c r="D63" s="12" t="inlineStr">
        <is>
          <t>PREPARE, INSTALL 100- X 10- FOOT THRESHOLD CONCRETE PAD AROUND L-806 LIGHT BASES, COMPLETE IN PLACE</t>
        </is>
      </c>
      <c r="E63" s="13" t="n">
        <v>31500</v>
      </c>
      <c r="F63" s="13">
        <f>B63*E63</f>
        <v/>
      </c>
      <c r="G63" s="14" t="n">
        <v>20022.35</v>
      </c>
      <c r="H63" s="14">
        <f>B63*G63</f>
        <v/>
      </c>
      <c r="I63" s="14" t="n">
        <v>34430</v>
      </c>
      <c r="J63" s="14">
        <f>B63*I63</f>
        <v/>
      </c>
    </row>
    <row r="64">
      <c r="A64" s="10" t="inlineStr">
        <is>
          <t>P-610-6.3</t>
        </is>
      </c>
      <c r="B64" s="11" t="n">
        <v>4</v>
      </c>
      <c r="C64" s="10" t="inlineStr">
        <is>
          <t>EA</t>
        </is>
      </c>
      <c r="D64" s="12" t="inlineStr">
        <is>
          <t>PREPARE, INSTALL 40- X 10-FOOT DISPLACED THRESHOLD CONCRETE PAD AROUND L-806 LIGHT BASES, COMPLETE IN PLACE</t>
        </is>
      </c>
      <c r="E64" s="13" t="n">
        <v>13500</v>
      </c>
      <c r="F64" s="13">
        <f>B64*E64</f>
        <v/>
      </c>
      <c r="G64" s="14" t="n">
        <v>8008.94</v>
      </c>
      <c r="H64" s="14">
        <f>B64*G64</f>
        <v/>
      </c>
      <c r="I64" s="14" t="n">
        <v>14190</v>
      </c>
      <c r="J64" s="14">
        <f>B64*I64</f>
        <v/>
      </c>
    </row>
    <row r="65">
      <c r="A65" s="15" t="inlineStr">
        <is>
          <t>Total Bid (sum of line items)</t>
        </is>
      </c>
      <c r="F65" s="16">
        <f>SUM(F14:F64)</f>
        <v/>
      </c>
      <c r="H65" s="17">
        <f>SUM(H14:H64)</f>
        <v/>
      </c>
      <c r="J65" s="17">
        <f>SUM(J14:J64)</f>
        <v/>
      </c>
    </row>
    <row r="66">
      <c r="A66" s="15" t="inlineStr">
        <is>
          <t>Base Bid per TxDOT Summary Sheet</t>
        </is>
      </c>
      <c r="F66" s="13" t="n">
        <v>5660055</v>
      </c>
      <c r="H66" s="14" t="n">
        <v>6945199.67</v>
      </c>
      <c r="J66" s="14" t="n">
        <v>8185518.05</v>
      </c>
    </row>
    <row r="67">
      <c r="A67" s="15" t="inlineStr">
        <is>
          <t>Difference (should be $0)</t>
        </is>
      </c>
      <c r="F67" s="13">
        <f>F65-F66</f>
        <v/>
      </c>
      <c r="H67" s="14">
        <f>H65-H66</f>
        <v/>
      </c>
      <c r="J67" s="14">
        <f>J65-J66</f>
        <v/>
      </c>
    </row>
    <row r="68">
      <c r="A68" s="15" t="inlineStr">
        <is>
          <t>Rank</t>
        </is>
      </c>
      <c r="F68" s="18">
        <f>1+(F65&gt;H65)+(F65&gt;J65)</f>
        <v/>
      </c>
      <c r="H68" s="19">
        <f>1+(H65&gt;F65)+(H65&gt;J65)</f>
        <v/>
      </c>
      <c r="J68" s="19">
        <f>1+(J65&gt;F65)+(J65&gt;H65)</f>
        <v/>
      </c>
    </row>
    <row r="69">
      <c r="A69" s="15" t="inlineStr">
        <is>
          <t>Above Low Bid</t>
        </is>
      </c>
      <c r="F69" s="20">
        <f>F65/$F$65-1</f>
        <v/>
      </c>
      <c r="H69" s="21">
        <f>H65/$F$65-1</f>
        <v/>
      </c>
      <c r="J69" s="21">
        <f>J65/$F$65-1</f>
        <v/>
      </c>
    </row>
    <row r="71">
      <c r="A71" s="2" t="inlineStr">
        <is>
          <t>Notes</t>
        </is>
      </c>
    </row>
    <row r="72">
      <c r="A72" s="22" t="inlineStr">
        <is>
          <t>Bidders are ordered low to high by base bid; the low bidder is shaded green.</t>
        </is>
      </c>
    </row>
    <row r="73">
      <c r="A73" s="22" t="inlineStr">
        <is>
          <t>Unit prices were read from scanned bid tabs (OCR) and verified: every bidder's line totals reconcile to the base bid on TxDOT's summary sheet.</t>
        </is>
      </c>
    </row>
    <row r="74">
      <c r="A74" s="23" t="inlineStr">
        <is>
          <t>Source: https://www.dot.state.tx.us/AVN/avninfo/status/construct/ntb2521zapat00053br1.pdf. Generated 2026-10-19 16:21.</t>
        </is>
      </c>
    </row>
  </sheetData>
  <mergeCells count="12">
    <mergeCell ref="E12:F12"/>
    <mergeCell ref="I12:J12"/>
    <mergeCell ref="G12:H12"/>
    <mergeCell ref="A67:D67"/>
    <mergeCell ref="A12:A13"/>
    <mergeCell ref="B12:B13"/>
    <mergeCell ref="A69:D69"/>
    <mergeCell ref="C12:C13"/>
    <mergeCell ref="A65:D65"/>
    <mergeCell ref="D12:D13"/>
    <mergeCell ref="A68:D68"/>
    <mergeCell ref="A66:D6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</cols>
  <sheetData>
    <row r="1">
      <c r="A1" s="24" t="inlineStr">
        <is>
          <t>Bidder</t>
        </is>
      </c>
      <c r="B1" s="24" t="inlineStr">
        <is>
          <t>Base Bid (summary sheet)</t>
        </is>
      </c>
      <c r="C1" s="24" t="inlineStr">
        <is>
          <t>Sum of OCR line totals</t>
        </is>
      </c>
      <c r="D1" s="24" t="inlineStr">
        <is>
          <t>Verified</t>
        </is>
      </c>
    </row>
    <row r="2">
      <c r="A2" s="25" t="inlineStr">
        <is>
          <t>Foremost Paving, Inc.</t>
        </is>
      </c>
      <c r="B2" s="26" t="n">
        <v>8185518.05</v>
      </c>
      <c r="C2" s="26" t="n">
        <v>8185518.05</v>
      </c>
      <c r="D2" s="25" t="inlineStr">
        <is>
          <t>Yes</t>
        </is>
      </c>
    </row>
    <row r="3">
      <c r="A3" s="25" t="inlineStr">
        <is>
          <t>Anderson Columbia Company, Inc.</t>
        </is>
      </c>
      <c r="B3" s="26" t="n">
        <v>5660055</v>
      </c>
      <c r="C3" s="26" t="n">
        <v>5660055</v>
      </c>
      <c r="D3" s="25" t="inlineStr">
        <is>
          <t>Yes</t>
        </is>
      </c>
    </row>
    <row r="4">
      <c r="A4" s="25" t="inlineStr">
        <is>
          <t>Sterling Delaware Holding Company</t>
        </is>
      </c>
      <c r="B4" s="26" t="n">
        <v>6945199.67</v>
      </c>
      <c r="C4" s="26" t="n">
        <v>6945199.67</v>
      </c>
      <c r="D4" s="25" t="inlineStr">
        <is>
          <t>Yes</t>
        </is>
      </c>
    </row>
    <row r="5">
      <c r="A5" s="25" t="n"/>
      <c r="B5" s="25" t="n"/>
      <c r="C5" s="25" t="n"/>
      <c r="D5" s="25" t="n"/>
    </row>
    <row r="6">
      <c r="A6" s="24" t="inlineStr">
        <is>
          <t>Extraction notes</t>
        </is>
      </c>
      <c r="B6" s="25" t="n"/>
      <c r="C6" s="25" t="n"/>
      <c r="D6" s="25" t="n"/>
    </row>
    <row r="7">
      <c r="A7" s="25" t="inlineStr">
        <is>
          <t>row 9: one bidder read as P-152-4.5 qty 1550.0; using consensus P-152-4.5 qty 51550.0</t>
        </is>
      </c>
      <c r="B7" s="25" t="n"/>
      <c r="C7" s="25" t="n"/>
      <c r="D7" s="25" t="n"/>
    </row>
    <row r="8">
      <c r="A8" s="25" t="inlineStr">
        <is>
          <t>row 22: one bidder read as L-101-5.1 qty None; using consensus L-101-5.1 qty 1.0</t>
        </is>
      </c>
      <c r="B8" s="25" t="n"/>
      <c r="C8" s="25" t="n"/>
      <c r="D8" s="25" t="n"/>
    </row>
    <row r="9">
      <c r="A9" s="25" t="inlineStr">
        <is>
          <t>row 29: one bidder read as L-108-5.5 qty 44470.0; using consensus L-108-5.5 qty 14470.0</t>
        </is>
      </c>
      <c r="B9" s="25" t="n"/>
      <c r="C9" s="25" t="n"/>
      <c r="D9" s="25" t="n"/>
    </row>
    <row r="10">
      <c r="A10" s="25" t="inlineStr">
        <is>
          <t>row 42: one bidder read as L-125.2 qty 1.0; using consensus L-125.2 qty 11.0</t>
        </is>
      </c>
      <c r="B10" s="25" t="n"/>
      <c r="C10" s="25" t="n"/>
      <c r="D10" s="25" t="n"/>
    </row>
    <row r="11">
      <c r="A11" s="25" t="inlineStr">
        <is>
          <t>row 42: one bidder read as L-125.2 qty None; using consensus L-125.2 qty 11.0</t>
        </is>
      </c>
      <c r="B11" s="25" t="n"/>
      <c r="C11" s="25" t="n"/>
      <c r="D11" s="25" t="n"/>
    </row>
    <row r="12">
      <c r="A12" s="25" t="inlineStr">
        <is>
          <t>Foremost Paving, Inc.: L-108-5.3: OCR read unit price 52.75 / total 40,425.00, which disagree with qty 14700; corrected unit price -&gt; 2.75 / 40,425.00</t>
        </is>
      </c>
      <c r="B12" s="25" t="n"/>
      <c r="C12" s="25" t="n"/>
      <c r="D12" s="25" t="n"/>
    </row>
    <row r="13">
      <c r="A13" s="25" t="inlineStr">
        <is>
          <t>Sterling Delaware Holding Company: L-125.1: OCR read unit price 200.22 / total 23,625.90, which disagree with qty 118; corrected total -&gt; 200.22 / 23,625.96</t>
        </is>
      </c>
      <c r="B13" s="25" t="n"/>
      <c r="C13" s="25" t="n"/>
      <c r="D13" s="25" t="n"/>
    </row>
    <row r="14">
      <c r="A14" s="25" t="inlineStr">
        <is>
          <t>Sterling Delaware Holding Company: L-125.2: OCR read unit price 500.50 / total 5,506.10 (qty 11), neither consistent; solved from the base bid -&gt; 500.56 / 5,506.16</t>
        </is>
      </c>
      <c r="B14" s="25" t="n"/>
      <c r="C14" s="25" t="n"/>
      <c r="D1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2026-10-19T21:21:59Z</dcterms:created>
  <dcterms:modified xsi:type="dcterms:W3CDTF">2026-10-19T21:21:59Z</dcterms:modified>
</cp:coreProperties>
</file>