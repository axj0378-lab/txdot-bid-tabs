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Unit Prices" sheetId="1" state="visible" r:id="rId1"/>
    <sheet name="Projects" sheetId="2" state="visible" r:id="rId2"/>
    <sheet name="Bid Data" sheetId="3" state="visible" r:id="rId3"/>
  </sheets>
  <definedNames>
    <definedName name="_xlnm._FilterDatabase" localSheetId="1" hidden="1">'Projects'!$A$1:$N$3</definedName>
    <definedName name="_xlnm._FilterDatabase" localSheetId="2" hidden="1">'Bid Data'!$A$1:$N$187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mmm d, yyyy"/>
    <numFmt numFmtId="165" formatCode="$#,##0.00;($#,##0.00);&quot;-&quot;"/>
    <numFmt numFmtId="166" formatCode="#,##0.##"/>
    <numFmt numFmtId="167" formatCode="yyyy-mm-dd h:mm:ss"/>
    <numFmt numFmtId="168" formatCode="yyyy-mm-dd"/>
    <numFmt numFmtId="169" formatCode="yyyy-mm-dd hh:mm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/>
    </xf>
    <xf numFmtId="166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9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2"/>
  <sheetViews>
    <sheetView showGridLines="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4" customWidth="1" min="2" max="2"/>
    <col width="7" customWidth="1" min="3" max="3"/>
    <col width="18" customWidth="1" min="4" max="4"/>
    <col width="12" customWidth="1" min="5" max="5"/>
    <col width="18" customWidth="1" min="6" max="6"/>
    <col width="12" customWidth="1" min="7" max="7"/>
    <col width="14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>
      <c r="A1" s="1" t="inlineStr">
        <is>
          <t>Statewide Unit Bid Prices (Low Bid)</t>
        </is>
      </c>
    </row>
    <row r="2">
      <c r="A2" s="2" t="inlineStr">
        <is>
          <t>One row per bid item; each project adds a Unit Price / Qty block. Values are live formulas over the Bid Data sheet.</t>
        </is>
      </c>
    </row>
    <row r="4" ht="30" customHeight="1">
      <c r="A4" s="3" t="inlineStr">
        <is>
          <t>Project</t>
        </is>
      </c>
      <c r="D4" s="4" t="inlineStr">
        <is>
          <t>Lockhart Municipal (October 2026)</t>
        </is>
      </c>
      <c r="E4" s="5" t="n"/>
      <c r="F4" s="4" t="inlineStr">
        <is>
          <t>Zapata County (October 2026)</t>
        </is>
      </c>
      <c r="G4" s="5" t="n"/>
    </row>
    <row r="5">
      <c r="A5" s="3" t="inlineStr">
        <is>
          <t>Project ID</t>
        </is>
      </c>
      <c r="D5" s="6" t="inlineStr">
        <is>
          <t>NTB2614LHART00034</t>
        </is>
      </c>
      <c r="E5" s="5" t="n"/>
      <c r="F5" s="6" t="inlineStr">
        <is>
          <t>NTB2521ZAPAT00053</t>
        </is>
      </c>
      <c r="G5" s="5" t="n"/>
    </row>
    <row r="6">
      <c r="A6" s="3" t="inlineStr">
        <is>
          <t>CSJ</t>
        </is>
      </c>
      <c r="D6" s="6">
        <f>INDEX(Projects!$C:$C,MATCH(D$5,Projects!$A:$A,0))</f>
        <v/>
      </c>
      <c r="E6" s="5" t="n"/>
      <c r="F6" s="6">
        <f>INDEX(Projects!$C:$C,MATCH(F$5,Projects!$A:$A,0))</f>
        <v/>
      </c>
      <c r="G6" s="5" t="n"/>
    </row>
    <row r="7">
      <c r="A7" s="3" t="inlineStr">
        <is>
          <t>Bid Date</t>
        </is>
      </c>
      <c r="D7" s="7">
        <f>INDEX(Projects!$F:$F,MATCH(D$5,Projects!$A:$A,0))</f>
        <v/>
      </c>
      <c r="E7" s="5" t="n"/>
      <c r="F7" s="7">
        <f>INDEX(Projects!$F:$F,MATCH(F$5,Projects!$A:$A,0))</f>
        <v/>
      </c>
      <c r="G7" s="5" t="n"/>
    </row>
    <row r="8">
      <c r="A8" s="3" t="inlineStr">
        <is>
          <t>Region</t>
        </is>
      </c>
      <c r="D8" s="6">
        <f>IF(INDEX(Projects!$H:$H,MATCH(D$5,Projects!$A:$A,0))="","(not set)",INDEX(Projects!$H:$H,MATCH(D$5,Projects!$A:$A,0)))</f>
        <v/>
      </c>
      <c r="E8" s="5" t="n"/>
      <c r="F8" s="6">
        <f>IF(INDEX(Projects!$H:$H,MATCH(F$5,Projects!$A:$A,0))="","(not set)",INDEX(Projects!$H:$H,MATCH(F$5,Projects!$A:$A,0)))</f>
        <v/>
      </c>
      <c r="G8" s="5" t="n"/>
    </row>
    <row r="9">
      <c r="A9" s="3" t="inlineStr">
        <is>
          <t>Price Age</t>
        </is>
      </c>
      <c r="D9" s="6">
        <f>IF(D$7="","",IF(TODAY()-D$7&lt;=91,"Last quarter",IF(TODAY()-D$7&lt;=183,"Last 6 months",IF(TODAY()-D$7&lt;=365,"Last year","Older than 1 year"))))</f>
        <v/>
      </c>
      <c r="E9" s="5" t="n"/>
      <c r="F9" s="6">
        <f>IF(F$7="","",IF(TODAY()-F$7&lt;=91,"Last quarter",IF(TODAY()-F$7&lt;=183,"Last 6 months",IF(TODAY()-F$7&lt;=365,"Last year","Older than 1 year"))))</f>
        <v/>
      </c>
      <c r="G9" s="5" t="n"/>
    </row>
    <row r="10" ht="30" customHeight="1">
      <c r="A10" s="3" t="inlineStr">
        <is>
          <t>Low Bidder</t>
        </is>
      </c>
      <c r="D10" s="6">
        <f>INDEX(Projects!$J:$J,MATCH(D$5,Projects!$A:$A,0))</f>
        <v/>
      </c>
      <c r="E10" s="5" t="n"/>
      <c r="F10" s="6">
        <f>INDEX(Projects!$J:$J,MATCH(F$5,Projects!$A:$A,0))</f>
        <v/>
      </c>
      <c r="G10" s="5" t="n"/>
      <c r="I10" s="8" t="inlineStr">
        <is>
          <t>Average Low-Bid Unit Price (not inflation-adjusted)</t>
        </is>
      </c>
    </row>
    <row r="11">
      <c r="A11" s="9" t="inlineStr">
        <is>
          <t>Item</t>
        </is>
      </c>
      <c r="B11" s="9" t="inlineStr">
        <is>
          <t>Description</t>
        </is>
      </c>
      <c r="C11" s="9" t="inlineStr">
        <is>
          <t>Unit</t>
        </is>
      </c>
      <c r="D11" s="9" t="inlineStr">
        <is>
          <t>Unit Price</t>
        </is>
      </c>
      <c r="E11" s="9" t="inlineStr">
        <is>
          <t>Qty</t>
        </is>
      </c>
      <c r="F11" s="9" t="inlineStr">
        <is>
          <t>Unit Price</t>
        </is>
      </c>
      <c r="G11" s="9" t="inlineStr">
        <is>
          <t>Qty</t>
        </is>
      </c>
      <c r="I11" s="10" t="inlineStr">
        <is>
          <t>Last Quarter</t>
        </is>
      </c>
      <c r="J11" s="10" t="inlineStr">
        <is>
          <t>Last 6 Months</t>
        </is>
      </c>
      <c r="K11" s="10" t="inlineStr">
        <is>
          <t>Last Year</t>
        </is>
      </c>
      <c r="L11" s="10" t="inlineStr">
        <is>
          <t>All Projects</t>
        </is>
      </c>
      <c r="M11" s="9" t="inlineStr">
        <is>
          <t># Projects</t>
        </is>
      </c>
    </row>
    <row r="12">
      <c r="A12" s="11" t="inlineStr">
        <is>
          <t>C-100</t>
        </is>
      </c>
      <c r="B12" s="12" t="inlineStr">
        <is>
          <t>CONTRACTOR QUALITY CONTROL PROGRAM</t>
        </is>
      </c>
      <c r="C12" s="11" t="inlineStr">
        <is>
          <t>LS</t>
        </is>
      </c>
      <c r="D12" s="13">
        <f>IF(COUNTIFS('Bid Data'!$A:$A,D$5,'Bid Data'!$H:$H,$A12,'Bid Data'!$J:$J,$C12,'Bid Data'!$G:$G,"Yes")=0,"",SUMIFS('Bid Data'!$L:$L,'Bid Data'!$A:$A,D$5,'Bid Data'!$H:$H,$A12,'Bid Data'!$J:$J,$C12,'Bid Data'!$G:$G,"Yes"))</f>
        <v/>
      </c>
      <c r="E12" s="14">
        <f>IF(COUNTIFS('Bid Data'!$A:$A,D$5,'Bid Data'!$H:$H,$A12,'Bid Data'!$J:$J,$C12,'Bid Data'!$G:$G,"Yes")=0,"",SUMIFS('Bid Data'!$K:$K,'Bid Data'!$A:$A,D$5,'Bid Data'!$H:$H,$A12,'Bid Data'!$J:$J,$C12,'Bid Data'!$G:$G,"Yes"))</f>
        <v/>
      </c>
      <c r="F12" s="13">
        <f>IF(COUNTIFS('Bid Data'!$A:$A,F$5,'Bid Data'!$H:$H,$A12,'Bid Data'!$J:$J,$C12,'Bid Data'!$G:$G,"Yes")=0,"",SUMIFS('Bid Data'!$L:$L,'Bid Data'!$A:$A,F$5,'Bid Data'!$H:$H,$A12,'Bid Data'!$J:$J,$C12,'Bid Data'!$G:$G,"Yes"))</f>
        <v/>
      </c>
      <c r="G12" s="14">
        <f>IF(COUNTIFS('Bid Data'!$A:$A,F$5,'Bid Data'!$H:$H,$A12,'Bid Data'!$J:$J,$C12,'Bid Data'!$G:$G,"Yes")=0,"",SUMIFS('Bid Data'!$K:$K,'Bid Data'!$A:$A,F$5,'Bid Data'!$H:$H,$A12,'Bid Data'!$J:$J,$C12,'Bid Data'!$G:$G,"Yes"))</f>
        <v/>
      </c>
      <c r="I12" s="13">
        <f>IFERROR(AVERAGEIFS('Bid Data'!$L:$L,'Bid Data'!$H:$H,$A12,'Bid Data'!$J:$J,$C12,'Bid Data'!$G:$G,"Yes",'Bid Data'!$D:$D,"&gt;="&amp;(TODAY()-91)),"")</f>
        <v/>
      </c>
      <c r="J12" s="13">
        <f>IFERROR(AVERAGEIFS('Bid Data'!$L:$L,'Bid Data'!$H:$H,$A12,'Bid Data'!$J:$J,$C12,'Bid Data'!$G:$G,"Yes",'Bid Data'!$D:$D,"&gt;="&amp;(TODAY()-183)),"")</f>
        <v/>
      </c>
      <c r="K12" s="13">
        <f>IFERROR(AVERAGEIFS('Bid Data'!$L:$L,'Bid Data'!$H:$H,$A12,'Bid Data'!$J:$J,$C12,'Bid Data'!$G:$G,"Yes",'Bid Data'!$D:$D,"&gt;="&amp;(TODAY()-365)),"")</f>
        <v/>
      </c>
      <c r="L12" s="13">
        <f>IFERROR(AVERAGEIFS('Bid Data'!$L:$L,'Bid Data'!$H:$H,$A12,'Bid Data'!$J:$J,$C12,'Bid Data'!$G:$G,"Yes"),"")</f>
        <v/>
      </c>
      <c r="M12" s="11">
        <f>COUNTIFS('Bid Data'!$H:$H,$A12,'Bid Data'!$J:$J,$C12,'Bid Data'!$G:$G,"Yes")</f>
        <v/>
      </c>
    </row>
    <row r="13">
      <c r="A13" s="11" t="inlineStr">
        <is>
          <t>C-102-5.1a</t>
        </is>
      </c>
      <c r="B13" s="12" t="inlineStr">
        <is>
          <t>TEMPORARY AIR AND WATER POLLUTION, SOIL EROSION, AND SILTATION CONTROL</t>
        </is>
      </c>
      <c r="C13" s="11" t="inlineStr">
        <is>
          <t>LS</t>
        </is>
      </c>
      <c r="D13" s="13">
        <f>IF(COUNTIFS('Bid Data'!$A:$A,D$5,'Bid Data'!$H:$H,$A13,'Bid Data'!$J:$J,$C13,'Bid Data'!$G:$G,"Yes")=0,"",SUMIFS('Bid Data'!$L:$L,'Bid Data'!$A:$A,D$5,'Bid Data'!$H:$H,$A13,'Bid Data'!$J:$J,$C13,'Bid Data'!$G:$G,"Yes"))</f>
        <v/>
      </c>
      <c r="E13" s="14">
        <f>IF(COUNTIFS('Bid Data'!$A:$A,D$5,'Bid Data'!$H:$H,$A13,'Bid Data'!$J:$J,$C13,'Bid Data'!$G:$G,"Yes")=0,"",SUMIFS('Bid Data'!$K:$K,'Bid Data'!$A:$A,D$5,'Bid Data'!$H:$H,$A13,'Bid Data'!$J:$J,$C13,'Bid Data'!$G:$G,"Yes"))</f>
        <v/>
      </c>
      <c r="F13" s="13">
        <f>IF(COUNTIFS('Bid Data'!$A:$A,F$5,'Bid Data'!$H:$H,$A13,'Bid Data'!$J:$J,$C13,'Bid Data'!$G:$G,"Yes")=0,"",SUMIFS('Bid Data'!$L:$L,'Bid Data'!$A:$A,F$5,'Bid Data'!$H:$H,$A13,'Bid Data'!$J:$J,$C13,'Bid Data'!$G:$G,"Yes"))</f>
        <v/>
      </c>
      <c r="G13" s="14">
        <f>IF(COUNTIFS('Bid Data'!$A:$A,F$5,'Bid Data'!$H:$H,$A13,'Bid Data'!$J:$J,$C13,'Bid Data'!$G:$G,"Yes")=0,"",SUMIFS('Bid Data'!$K:$K,'Bid Data'!$A:$A,F$5,'Bid Data'!$H:$H,$A13,'Bid Data'!$J:$J,$C13,'Bid Data'!$G:$G,"Yes"))</f>
        <v/>
      </c>
      <c r="I13" s="13">
        <f>IFERROR(AVERAGEIFS('Bid Data'!$L:$L,'Bid Data'!$H:$H,$A13,'Bid Data'!$J:$J,$C13,'Bid Data'!$G:$G,"Yes",'Bid Data'!$D:$D,"&gt;="&amp;(TODAY()-91)),"")</f>
        <v/>
      </c>
      <c r="J13" s="13">
        <f>IFERROR(AVERAGEIFS('Bid Data'!$L:$L,'Bid Data'!$H:$H,$A13,'Bid Data'!$J:$J,$C13,'Bid Data'!$G:$G,"Yes",'Bid Data'!$D:$D,"&gt;="&amp;(TODAY()-183)),"")</f>
        <v/>
      </c>
      <c r="K13" s="13">
        <f>IFERROR(AVERAGEIFS('Bid Data'!$L:$L,'Bid Data'!$H:$H,$A13,'Bid Data'!$J:$J,$C13,'Bid Data'!$G:$G,"Yes",'Bid Data'!$D:$D,"&gt;="&amp;(TODAY()-365)),"")</f>
        <v/>
      </c>
      <c r="L13" s="13">
        <f>IFERROR(AVERAGEIFS('Bid Data'!$L:$L,'Bid Data'!$H:$H,$A13,'Bid Data'!$J:$J,$C13,'Bid Data'!$G:$G,"Yes"),"")</f>
        <v/>
      </c>
      <c r="M13" s="11">
        <f>COUNTIFS('Bid Data'!$H:$H,$A13,'Bid Data'!$J:$J,$C13,'Bid Data'!$G:$G,"Yes")</f>
        <v/>
      </c>
    </row>
    <row r="14">
      <c r="A14" s="11" t="inlineStr">
        <is>
          <t>C-105</t>
        </is>
      </c>
      <c r="B14" s="12" t="inlineStr">
        <is>
          <t>CONTRACTOR MOBILIZATION (8%)</t>
        </is>
      </c>
      <c r="C14" s="11" t="inlineStr">
        <is>
          <t>LS</t>
        </is>
      </c>
      <c r="D14" s="13">
        <f>IF(COUNTIFS('Bid Data'!$A:$A,D$5,'Bid Data'!$H:$H,$A14,'Bid Data'!$J:$J,$C14,'Bid Data'!$G:$G,"Yes")=0,"",SUMIFS('Bid Data'!$L:$L,'Bid Data'!$A:$A,D$5,'Bid Data'!$H:$H,$A14,'Bid Data'!$J:$J,$C14,'Bid Data'!$G:$G,"Yes"))</f>
        <v/>
      </c>
      <c r="E14" s="14">
        <f>IF(COUNTIFS('Bid Data'!$A:$A,D$5,'Bid Data'!$H:$H,$A14,'Bid Data'!$J:$J,$C14,'Bid Data'!$G:$G,"Yes")=0,"",SUMIFS('Bid Data'!$K:$K,'Bid Data'!$A:$A,D$5,'Bid Data'!$H:$H,$A14,'Bid Data'!$J:$J,$C14,'Bid Data'!$G:$G,"Yes"))</f>
        <v/>
      </c>
      <c r="F14" s="13">
        <f>IF(COUNTIFS('Bid Data'!$A:$A,F$5,'Bid Data'!$H:$H,$A14,'Bid Data'!$J:$J,$C14,'Bid Data'!$G:$G,"Yes")=0,"",SUMIFS('Bid Data'!$L:$L,'Bid Data'!$A:$A,F$5,'Bid Data'!$H:$H,$A14,'Bid Data'!$J:$J,$C14,'Bid Data'!$G:$G,"Yes"))</f>
        <v/>
      </c>
      <c r="G14" s="14">
        <f>IF(COUNTIFS('Bid Data'!$A:$A,F$5,'Bid Data'!$H:$H,$A14,'Bid Data'!$J:$J,$C14,'Bid Data'!$G:$G,"Yes")=0,"",SUMIFS('Bid Data'!$K:$K,'Bid Data'!$A:$A,F$5,'Bid Data'!$H:$H,$A14,'Bid Data'!$J:$J,$C14,'Bid Data'!$G:$G,"Yes"))</f>
        <v/>
      </c>
      <c r="I14" s="13">
        <f>IFERROR(AVERAGEIFS('Bid Data'!$L:$L,'Bid Data'!$H:$H,$A14,'Bid Data'!$J:$J,$C14,'Bid Data'!$G:$G,"Yes",'Bid Data'!$D:$D,"&gt;="&amp;(TODAY()-91)),"")</f>
        <v/>
      </c>
      <c r="J14" s="13">
        <f>IFERROR(AVERAGEIFS('Bid Data'!$L:$L,'Bid Data'!$H:$H,$A14,'Bid Data'!$J:$J,$C14,'Bid Data'!$G:$G,"Yes",'Bid Data'!$D:$D,"&gt;="&amp;(TODAY()-183)),"")</f>
        <v/>
      </c>
      <c r="K14" s="13">
        <f>IFERROR(AVERAGEIFS('Bid Data'!$L:$L,'Bid Data'!$H:$H,$A14,'Bid Data'!$J:$J,$C14,'Bid Data'!$G:$G,"Yes",'Bid Data'!$D:$D,"&gt;="&amp;(TODAY()-365)),"")</f>
        <v/>
      </c>
      <c r="L14" s="13">
        <f>IFERROR(AVERAGEIFS('Bid Data'!$L:$L,'Bid Data'!$H:$H,$A14,'Bid Data'!$J:$J,$C14,'Bid Data'!$G:$G,"Yes"),"")</f>
        <v/>
      </c>
      <c r="M14" s="11">
        <f>COUNTIFS('Bid Data'!$H:$H,$A14,'Bid Data'!$J:$J,$C14,'Bid Data'!$G:$G,"Yes")</f>
        <v/>
      </c>
    </row>
    <row r="15">
      <c r="A15" s="11" t="inlineStr">
        <is>
          <t>D-701-5.1</t>
        </is>
      </c>
      <c r="B15" s="12" t="inlineStr">
        <is>
          <t>EXTEND EXISTING 18-INCH REINFORCED CONCRETE PIPE (RCP), COMPLETE IN PLACE, INCLUDING REMOVAL OF EXISTING</t>
        </is>
      </c>
      <c r="C15" s="11" t="inlineStr">
        <is>
          <t>LF</t>
        </is>
      </c>
      <c r="D15" s="13">
        <f>IF(COUNTIFS('Bid Data'!$A:$A,D$5,'Bid Data'!$H:$H,$A15,'Bid Data'!$J:$J,$C15,'Bid Data'!$G:$G,"Yes")=0,"",SUMIFS('Bid Data'!$L:$L,'Bid Data'!$A:$A,D$5,'Bid Data'!$H:$H,$A15,'Bid Data'!$J:$J,$C15,'Bid Data'!$G:$G,"Yes"))</f>
        <v/>
      </c>
      <c r="E15" s="14">
        <f>IF(COUNTIFS('Bid Data'!$A:$A,D$5,'Bid Data'!$H:$H,$A15,'Bid Data'!$J:$J,$C15,'Bid Data'!$G:$G,"Yes")=0,"",SUMIFS('Bid Data'!$K:$K,'Bid Data'!$A:$A,D$5,'Bid Data'!$H:$H,$A15,'Bid Data'!$J:$J,$C15,'Bid Data'!$G:$G,"Yes"))</f>
        <v/>
      </c>
      <c r="F15" s="13">
        <f>IF(COUNTIFS('Bid Data'!$A:$A,F$5,'Bid Data'!$H:$H,$A15,'Bid Data'!$J:$J,$C15,'Bid Data'!$G:$G,"Yes")=0,"",SUMIFS('Bid Data'!$L:$L,'Bid Data'!$A:$A,F$5,'Bid Data'!$H:$H,$A15,'Bid Data'!$J:$J,$C15,'Bid Data'!$G:$G,"Yes"))</f>
        <v/>
      </c>
      <c r="G15" s="14">
        <f>IF(COUNTIFS('Bid Data'!$A:$A,F$5,'Bid Data'!$H:$H,$A15,'Bid Data'!$J:$J,$C15,'Bid Data'!$G:$G,"Yes")=0,"",SUMIFS('Bid Data'!$K:$K,'Bid Data'!$A:$A,F$5,'Bid Data'!$H:$H,$A15,'Bid Data'!$J:$J,$C15,'Bid Data'!$G:$G,"Yes"))</f>
        <v/>
      </c>
      <c r="I15" s="13">
        <f>IFERROR(AVERAGEIFS('Bid Data'!$L:$L,'Bid Data'!$H:$H,$A15,'Bid Data'!$J:$J,$C15,'Bid Data'!$G:$G,"Yes",'Bid Data'!$D:$D,"&gt;="&amp;(TODAY()-91)),"")</f>
        <v/>
      </c>
      <c r="J15" s="13">
        <f>IFERROR(AVERAGEIFS('Bid Data'!$L:$L,'Bid Data'!$H:$H,$A15,'Bid Data'!$J:$J,$C15,'Bid Data'!$G:$G,"Yes",'Bid Data'!$D:$D,"&gt;="&amp;(TODAY()-183)),"")</f>
        <v/>
      </c>
      <c r="K15" s="13">
        <f>IFERROR(AVERAGEIFS('Bid Data'!$L:$L,'Bid Data'!$H:$H,$A15,'Bid Data'!$J:$J,$C15,'Bid Data'!$G:$G,"Yes",'Bid Data'!$D:$D,"&gt;="&amp;(TODAY()-365)),"")</f>
        <v/>
      </c>
      <c r="L15" s="13">
        <f>IFERROR(AVERAGEIFS('Bid Data'!$L:$L,'Bid Data'!$H:$H,$A15,'Bid Data'!$J:$J,$C15,'Bid Data'!$G:$G,"Yes"),"")</f>
        <v/>
      </c>
      <c r="M15" s="11">
        <f>COUNTIFS('Bid Data'!$H:$H,$A15,'Bid Data'!$J:$J,$C15,'Bid Data'!$G:$G,"Yes")</f>
        <v/>
      </c>
    </row>
    <row r="16">
      <c r="A16" s="11" t="inlineStr">
        <is>
          <t>D-752-5.1</t>
        </is>
      </c>
      <c r="B16" s="12" t="inlineStr">
        <is>
          <t>REPLACE EXISTING CONCRETE- REINFORCED SAFETY END TREATMENT, FOR 18- INCH RCP PIPE, COMPLETE IN PLACE, INCLUDING REMOVAL OF EXISTING</t>
        </is>
      </c>
      <c r="C16" s="11" t="inlineStr">
        <is>
          <t>EA</t>
        </is>
      </c>
      <c r="D16" s="13">
        <f>IF(COUNTIFS('Bid Data'!$A:$A,D$5,'Bid Data'!$H:$H,$A16,'Bid Data'!$J:$J,$C16,'Bid Data'!$G:$G,"Yes")=0,"",SUMIFS('Bid Data'!$L:$L,'Bid Data'!$A:$A,D$5,'Bid Data'!$H:$H,$A16,'Bid Data'!$J:$J,$C16,'Bid Data'!$G:$G,"Yes"))</f>
        <v/>
      </c>
      <c r="E16" s="14">
        <f>IF(COUNTIFS('Bid Data'!$A:$A,D$5,'Bid Data'!$H:$H,$A16,'Bid Data'!$J:$J,$C16,'Bid Data'!$G:$G,"Yes")=0,"",SUMIFS('Bid Data'!$K:$K,'Bid Data'!$A:$A,D$5,'Bid Data'!$H:$H,$A16,'Bid Data'!$J:$J,$C16,'Bid Data'!$G:$G,"Yes"))</f>
        <v/>
      </c>
      <c r="F16" s="13">
        <f>IF(COUNTIFS('Bid Data'!$A:$A,F$5,'Bid Data'!$H:$H,$A16,'Bid Data'!$J:$J,$C16,'Bid Data'!$G:$G,"Yes")=0,"",SUMIFS('Bid Data'!$L:$L,'Bid Data'!$A:$A,F$5,'Bid Data'!$H:$H,$A16,'Bid Data'!$J:$J,$C16,'Bid Data'!$G:$G,"Yes"))</f>
        <v/>
      </c>
      <c r="G16" s="14">
        <f>IF(COUNTIFS('Bid Data'!$A:$A,F$5,'Bid Data'!$H:$H,$A16,'Bid Data'!$J:$J,$C16,'Bid Data'!$G:$G,"Yes")=0,"",SUMIFS('Bid Data'!$K:$K,'Bid Data'!$A:$A,F$5,'Bid Data'!$H:$H,$A16,'Bid Data'!$J:$J,$C16,'Bid Data'!$G:$G,"Yes"))</f>
        <v/>
      </c>
      <c r="I16" s="13">
        <f>IFERROR(AVERAGEIFS('Bid Data'!$L:$L,'Bid Data'!$H:$H,$A16,'Bid Data'!$J:$J,$C16,'Bid Data'!$G:$G,"Yes",'Bid Data'!$D:$D,"&gt;="&amp;(TODAY()-91)),"")</f>
        <v/>
      </c>
      <c r="J16" s="13">
        <f>IFERROR(AVERAGEIFS('Bid Data'!$L:$L,'Bid Data'!$H:$H,$A16,'Bid Data'!$J:$J,$C16,'Bid Data'!$G:$G,"Yes",'Bid Data'!$D:$D,"&gt;="&amp;(TODAY()-183)),"")</f>
        <v/>
      </c>
      <c r="K16" s="13">
        <f>IFERROR(AVERAGEIFS('Bid Data'!$L:$L,'Bid Data'!$H:$H,$A16,'Bid Data'!$J:$J,$C16,'Bid Data'!$G:$G,"Yes",'Bid Data'!$D:$D,"&gt;="&amp;(TODAY()-365)),"")</f>
        <v/>
      </c>
      <c r="L16" s="13">
        <f>IFERROR(AVERAGEIFS('Bid Data'!$L:$L,'Bid Data'!$H:$H,$A16,'Bid Data'!$J:$J,$C16,'Bid Data'!$G:$G,"Yes"),"")</f>
        <v/>
      </c>
      <c r="M16" s="11">
        <f>COUNTIFS('Bid Data'!$H:$H,$A16,'Bid Data'!$J:$J,$C16,'Bid Data'!$G:$G,"Yes")</f>
        <v/>
      </c>
    </row>
    <row r="17">
      <c r="A17" s="11" t="inlineStr">
        <is>
          <t>F-164.1</t>
        </is>
      </c>
      <c r="B17" s="12" t="inlineStr">
        <is>
          <t>REMOVE EXISTING FENCE AND GATES</t>
        </is>
      </c>
      <c r="C17" s="11" t="inlineStr">
        <is>
          <t>LF</t>
        </is>
      </c>
      <c r="D17" s="13">
        <f>IF(COUNTIFS('Bid Data'!$A:$A,D$5,'Bid Data'!$H:$H,$A17,'Bid Data'!$J:$J,$C17,'Bid Data'!$G:$G,"Yes")=0,"",SUMIFS('Bid Data'!$L:$L,'Bid Data'!$A:$A,D$5,'Bid Data'!$H:$H,$A17,'Bid Data'!$J:$J,$C17,'Bid Data'!$G:$G,"Yes"))</f>
        <v/>
      </c>
      <c r="E17" s="14">
        <f>IF(COUNTIFS('Bid Data'!$A:$A,D$5,'Bid Data'!$H:$H,$A17,'Bid Data'!$J:$J,$C17,'Bid Data'!$G:$G,"Yes")=0,"",SUMIFS('Bid Data'!$K:$K,'Bid Data'!$A:$A,D$5,'Bid Data'!$H:$H,$A17,'Bid Data'!$J:$J,$C17,'Bid Data'!$G:$G,"Yes"))</f>
        <v/>
      </c>
      <c r="F17" s="13">
        <f>IF(COUNTIFS('Bid Data'!$A:$A,F$5,'Bid Data'!$H:$H,$A17,'Bid Data'!$J:$J,$C17,'Bid Data'!$G:$G,"Yes")=0,"",SUMIFS('Bid Data'!$L:$L,'Bid Data'!$A:$A,F$5,'Bid Data'!$H:$H,$A17,'Bid Data'!$J:$J,$C17,'Bid Data'!$G:$G,"Yes"))</f>
        <v/>
      </c>
      <c r="G17" s="14">
        <f>IF(COUNTIFS('Bid Data'!$A:$A,F$5,'Bid Data'!$H:$H,$A17,'Bid Data'!$J:$J,$C17,'Bid Data'!$G:$G,"Yes")=0,"",SUMIFS('Bid Data'!$K:$K,'Bid Data'!$A:$A,F$5,'Bid Data'!$H:$H,$A17,'Bid Data'!$J:$J,$C17,'Bid Data'!$G:$G,"Yes"))</f>
        <v/>
      </c>
      <c r="I17" s="13">
        <f>IFERROR(AVERAGEIFS('Bid Data'!$L:$L,'Bid Data'!$H:$H,$A17,'Bid Data'!$J:$J,$C17,'Bid Data'!$G:$G,"Yes",'Bid Data'!$D:$D,"&gt;="&amp;(TODAY()-91)),"")</f>
        <v/>
      </c>
      <c r="J17" s="13">
        <f>IFERROR(AVERAGEIFS('Bid Data'!$L:$L,'Bid Data'!$H:$H,$A17,'Bid Data'!$J:$J,$C17,'Bid Data'!$G:$G,"Yes",'Bid Data'!$D:$D,"&gt;="&amp;(TODAY()-183)),"")</f>
        <v/>
      </c>
      <c r="K17" s="13">
        <f>IFERROR(AVERAGEIFS('Bid Data'!$L:$L,'Bid Data'!$H:$H,$A17,'Bid Data'!$J:$J,$C17,'Bid Data'!$G:$G,"Yes",'Bid Data'!$D:$D,"&gt;="&amp;(TODAY()-365)),"")</f>
        <v/>
      </c>
      <c r="L17" s="13">
        <f>IFERROR(AVERAGEIFS('Bid Data'!$L:$L,'Bid Data'!$H:$H,$A17,'Bid Data'!$J:$J,$C17,'Bid Data'!$G:$G,"Yes"),"")</f>
        <v/>
      </c>
      <c r="M17" s="11">
        <f>COUNTIFS('Bid Data'!$H:$H,$A17,'Bid Data'!$J:$J,$C17,'Bid Data'!$G:$G,"Yes")</f>
        <v/>
      </c>
    </row>
    <row r="18">
      <c r="A18" s="11" t="inlineStr">
        <is>
          <t>F-164.2</t>
        </is>
      </c>
      <c r="B18" s="12" t="inlineStr">
        <is>
          <t>INSTALL 8 FT TALL GAME FENCING</t>
        </is>
      </c>
      <c r="C18" s="11" t="inlineStr">
        <is>
          <t>LF</t>
        </is>
      </c>
      <c r="D18" s="13">
        <f>IF(COUNTIFS('Bid Data'!$A:$A,D$5,'Bid Data'!$H:$H,$A18,'Bid Data'!$J:$J,$C18,'Bid Data'!$G:$G,"Yes")=0,"",SUMIFS('Bid Data'!$L:$L,'Bid Data'!$A:$A,D$5,'Bid Data'!$H:$H,$A18,'Bid Data'!$J:$J,$C18,'Bid Data'!$G:$G,"Yes"))</f>
        <v/>
      </c>
      <c r="E18" s="14">
        <f>IF(COUNTIFS('Bid Data'!$A:$A,D$5,'Bid Data'!$H:$H,$A18,'Bid Data'!$J:$J,$C18,'Bid Data'!$G:$G,"Yes")=0,"",SUMIFS('Bid Data'!$K:$K,'Bid Data'!$A:$A,D$5,'Bid Data'!$H:$H,$A18,'Bid Data'!$J:$J,$C18,'Bid Data'!$G:$G,"Yes"))</f>
        <v/>
      </c>
      <c r="F18" s="13">
        <f>IF(COUNTIFS('Bid Data'!$A:$A,F$5,'Bid Data'!$H:$H,$A18,'Bid Data'!$J:$J,$C18,'Bid Data'!$G:$G,"Yes")=0,"",SUMIFS('Bid Data'!$L:$L,'Bid Data'!$A:$A,F$5,'Bid Data'!$H:$H,$A18,'Bid Data'!$J:$J,$C18,'Bid Data'!$G:$G,"Yes"))</f>
        <v/>
      </c>
      <c r="G18" s="14">
        <f>IF(COUNTIFS('Bid Data'!$A:$A,F$5,'Bid Data'!$H:$H,$A18,'Bid Data'!$J:$J,$C18,'Bid Data'!$G:$G,"Yes")=0,"",SUMIFS('Bid Data'!$K:$K,'Bid Data'!$A:$A,F$5,'Bid Data'!$H:$H,$A18,'Bid Data'!$J:$J,$C18,'Bid Data'!$G:$G,"Yes"))</f>
        <v/>
      </c>
      <c r="I18" s="13">
        <f>IFERROR(AVERAGEIFS('Bid Data'!$L:$L,'Bid Data'!$H:$H,$A18,'Bid Data'!$J:$J,$C18,'Bid Data'!$G:$G,"Yes",'Bid Data'!$D:$D,"&gt;="&amp;(TODAY()-91)),"")</f>
        <v/>
      </c>
      <c r="J18" s="13">
        <f>IFERROR(AVERAGEIFS('Bid Data'!$L:$L,'Bid Data'!$H:$H,$A18,'Bid Data'!$J:$J,$C18,'Bid Data'!$G:$G,"Yes",'Bid Data'!$D:$D,"&gt;="&amp;(TODAY()-183)),"")</f>
        <v/>
      </c>
      <c r="K18" s="13">
        <f>IFERROR(AVERAGEIFS('Bid Data'!$L:$L,'Bid Data'!$H:$H,$A18,'Bid Data'!$J:$J,$C18,'Bid Data'!$G:$G,"Yes",'Bid Data'!$D:$D,"&gt;="&amp;(TODAY()-365)),"")</f>
        <v/>
      </c>
      <c r="L18" s="13">
        <f>IFERROR(AVERAGEIFS('Bid Data'!$L:$L,'Bid Data'!$H:$H,$A18,'Bid Data'!$J:$J,$C18,'Bid Data'!$G:$G,"Yes"),"")</f>
        <v/>
      </c>
      <c r="M18" s="11">
        <f>COUNTIFS('Bid Data'!$H:$H,$A18,'Bid Data'!$J:$J,$C18,'Bid Data'!$G:$G,"Yes")</f>
        <v/>
      </c>
    </row>
    <row r="19">
      <c r="A19" s="11" t="inlineStr">
        <is>
          <t>F-164.3a</t>
        </is>
      </c>
      <c r="B19" s="12" t="inlineStr">
        <is>
          <t>INSTALL NEW AUTOMATED GATE AND ASSOCIATED ELECTRICAL</t>
        </is>
      </c>
      <c r="C19" s="11" t="inlineStr">
        <is>
          <t>EA</t>
        </is>
      </c>
      <c r="D19" s="13">
        <f>IF(COUNTIFS('Bid Data'!$A:$A,D$5,'Bid Data'!$H:$H,$A19,'Bid Data'!$J:$J,$C19,'Bid Data'!$G:$G,"Yes")=0,"",SUMIFS('Bid Data'!$L:$L,'Bid Data'!$A:$A,D$5,'Bid Data'!$H:$H,$A19,'Bid Data'!$J:$J,$C19,'Bid Data'!$G:$G,"Yes"))</f>
        <v/>
      </c>
      <c r="E19" s="14">
        <f>IF(COUNTIFS('Bid Data'!$A:$A,D$5,'Bid Data'!$H:$H,$A19,'Bid Data'!$J:$J,$C19,'Bid Data'!$G:$G,"Yes")=0,"",SUMIFS('Bid Data'!$K:$K,'Bid Data'!$A:$A,D$5,'Bid Data'!$H:$H,$A19,'Bid Data'!$J:$J,$C19,'Bid Data'!$G:$G,"Yes"))</f>
        <v/>
      </c>
      <c r="F19" s="13">
        <f>IF(COUNTIFS('Bid Data'!$A:$A,F$5,'Bid Data'!$H:$H,$A19,'Bid Data'!$J:$J,$C19,'Bid Data'!$G:$G,"Yes")=0,"",SUMIFS('Bid Data'!$L:$L,'Bid Data'!$A:$A,F$5,'Bid Data'!$H:$H,$A19,'Bid Data'!$J:$J,$C19,'Bid Data'!$G:$G,"Yes"))</f>
        <v/>
      </c>
      <c r="G19" s="14">
        <f>IF(COUNTIFS('Bid Data'!$A:$A,F$5,'Bid Data'!$H:$H,$A19,'Bid Data'!$J:$J,$C19,'Bid Data'!$G:$G,"Yes")=0,"",SUMIFS('Bid Data'!$K:$K,'Bid Data'!$A:$A,F$5,'Bid Data'!$H:$H,$A19,'Bid Data'!$J:$J,$C19,'Bid Data'!$G:$G,"Yes"))</f>
        <v/>
      </c>
      <c r="I19" s="13">
        <f>IFERROR(AVERAGEIFS('Bid Data'!$L:$L,'Bid Data'!$H:$H,$A19,'Bid Data'!$J:$J,$C19,'Bid Data'!$G:$G,"Yes",'Bid Data'!$D:$D,"&gt;="&amp;(TODAY()-91)),"")</f>
        <v/>
      </c>
      <c r="J19" s="13">
        <f>IFERROR(AVERAGEIFS('Bid Data'!$L:$L,'Bid Data'!$H:$H,$A19,'Bid Data'!$J:$J,$C19,'Bid Data'!$G:$G,"Yes",'Bid Data'!$D:$D,"&gt;="&amp;(TODAY()-183)),"")</f>
        <v/>
      </c>
      <c r="K19" s="13">
        <f>IFERROR(AVERAGEIFS('Bid Data'!$L:$L,'Bid Data'!$H:$H,$A19,'Bid Data'!$J:$J,$C19,'Bid Data'!$G:$G,"Yes",'Bid Data'!$D:$D,"&gt;="&amp;(TODAY()-365)),"")</f>
        <v/>
      </c>
      <c r="L19" s="13">
        <f>IFERROR(AVERAGEIFS('Bid Data'!$L:$L,'Bid Data'!$H:$H,$A19,'Bid Data'!$J:$J,$C19,'Bid Data'!$G:$G,"Yes"),"")</f>
        <v/>
      </c>
      <c r="M19" s="11">
        <f>COUNTIFS('Bid Data'!$H:$H,$A19,'Bid Data'!$J:$J,$C19,'Bid Data'!$G:$G,"Yes")</f>
        <v/>
      </c>
    </row>
    <row r="20">
      <c r="A20" s="11" t="inlineStr">
        <is>
          <t>F-164.3b</t>
        </is>
      </c>
      <c r="B20" s="12" t="inlineStr">
        <is>
          <t>INSTALL 16' SWING GATE</t>
        </is>
      </c>
      <c r="C20" s="11" t="inlineStr">
        <is>
          <t>EA</t>
        </is>
      </c>
      <c r="D20" s="13">
        <f>IF(COUNTIFS('Bid Data'!$A:$A,D$5,'Bid Data'!$H:$H,$A20,'Bid Data'!$J:$J,$C20,'Bid Data'!$G:$G,"Yes")=0,"",SUMIFS('Bid Data'!$L:$L,'Bid Data'!$A:$A,D$5,'Bid Data'!$H:$H,$A20,'Bid Data'!$J:$J,$C20,'Bid Data'!$G:$G,"Yes"))</f>
        <v/>
      </c>
      <c r="E20" s="14">
        <f>IF(COUNTIFS('Bid Data'!$A:$A,D$5,'Bid Data'!$H:$H,$A20,'Bid Data'!$J:$J,$C20,'Bid Data'!$G:$G,"Yes")=0,"",SUMIFS('Bid Data'!$K:$K,'Bid Data'!$A:$A,D$5,'Bid Data'!$H:$H,$A20,'Bid Data'!$J:$J,$C20,'Bid Data'!$G:$G,"Yes"))</f>
        <v/>
      </c>
      <c r="F20" s="13">
        <f>IF(COUNTIFS('Bid Data'!$A:$A,F$5,'Bid Data'!$H:$H,$A20,'Bid Data'!$J:$J,$C20,'Bid Data'!$G:$G,"Yes")=0,"",SUMIFS('Bid Data'!$L:$L,'Bid Data'!$A:$A,F$5,'Bid Data'!$H:$H,$A20,'Bid Data'!$J:$J,$C20,'Bid Data'!$G:$G,"Yes"))</f>
        <v/>
      </c>
      <c r="G20" s="14">
        <f>IF(COUNTIFS('Bid Data'!$A:$A,F$5,'Bid Data'!$H:$H,$A20,'Bid Data'!$J:$J,$C20,'Bid Data'!$G:$G,"Yes")=0,"",SUMIFS('Bid Data'!$K:$K,'Bid Data'!$A:$A,F$5,'Bid Data'!$H:$H,$A20,'Bid Data'!$J:$J,$C20,'Bid Data'!$G:$G,"Yes"))</f>
        <v/>
      </c>
      <c r="I20" s="13">
        <f>IFERROR(AVERAGEIFS('Bid Data'!$L:$L,'Bid Data'!$H:$H,$A20,'Bid Data'!$J:$J,$C20,'Bid Data'!$G:$G,"Yes",'Bid Data'!$D:$D,"&gt;="&amp;(TODAY()-91)),"")</f>
        <v/>
      </c>
      <c r="J20" s="13">
        <f>IFERROR(AVERAGEIFS('Bid Data'!$L:$L,'Bid Data'!$H:$H,$A20,'Bid Data'!$J:$J,$C20,'Bid Data'!$G:$G,"Yes",'Bid Data'!$D:$D,"&gt;="&amp;(TODAY()-183)),"")</f>
        <v/>
      </c>
      <c r="K20" s="13">
        <f>IFERROR(AVERAGEIFS('Bid Data'!$L:$L,'Bid Data'!$H:$H,$A20,'Bid Data'!$J:$J,$C20,'Bid Data'!$G:$G,"Yes",'Bid Data'!$D:$D,"&gt;="&amp;(TODAY()-365)),"")</f>
        <v/>
      </c>
      <c r="L20" s="13">
        <f>IFERROR(AVERAGEIFS('Bid Data'!$L:$L,'Bid Data'!$H:$H,$A20,'Bid Data'!$J:$J,$C20,'Bid Data'!$G:$G,"Yes"),"")</f>
        <v/>
      </c>
      <c r="M20" s="11">
        <f>COUNTIFS('Bid Data'!$H:$H,$A20,'Bid Data'!$J:$J,$C20,'Bid Data'!$G:$G,"Yes")</f>
        <v/>
      </c>
    </row>
    <row r="21">
      <c r="A21" s="11" t="inlineStr">
        <is>
          <t>F-164.3c</t>
        </is>
      </c>
      <c r="B21" s="12" t="inlineStr">
        <is>
          <t>INSTALL PEDESTRIAN GATE</t>
        </is>
      </c>
      <c r="C21" s="11" t="inlineStr">
        <is>
          <t>EA</t>
        </is>
      </c>
      <c r="D21" s="13">
        <f>IF(COUNTIFS('Bid Data'!$A:$A,D$5,'Bid Data'!$H:$H,$A21,'Bid Data'!$J:$J,$C21,'Bid Data'!$G:$G,"Yes")=0,"",SUMIFS('Bid Data'!$L:$L,'Bid Data'!$A:$A,D$5,'Bid Data'!$H:$H,$A21,'Bid Data'!$J:$J,$C21,'Bid Data'!$G:$G,"Yes"))</f>
        <v/>
      </c>
      <c r="E21" s="14">
        <f>IF(COUNTIFS('Bid Data'!$A:$A,D$5,'Bid Data'!$H:$H,$A21,'Bid Data'!$J:$J,$C21,'Bid Data'!$G:$G,"Yes")=0,"",SUMIFS('Bid Data'!$K:$K,'Bid Data'!$A:$A,D$5,'Bid Data'!$H:$H,$A21,'Bid Data'!$J:$J,$C21,'Bid Data'!$G:$G,"Yes"))</f>
        <v/>
      </c>
      <c r="F21" s="13">
        <f>IF(COUNTIFS('Bid Data'!$A:$A,F$5,'Bid Data'!$H:$H,$A21,'Bid Data'!$J:$J,$C21,'Bid Data'!$G:$G,"Yes")=0,"",SUMIFS('Bid Data'!$L:$L,'Bid Data'!$A:$A,F$5,'Bid Data'!$H:$H,$A21,'Bid Data'!$J:$J,$C21,'Bid Data'!$G:$G,"Yes"))</f>
        <v/>
      </c>
      <c r="G21" s="14">
        <f>IF(COUNTIFS('Bid Data'!$A:$A,F$5,'Bid Data'!$H:$H,$A21,'Bid Data'!$J:$J,$C21,'Bid Data'!$G:$G,"Yes")=0,"",SUMIFS('Bid Data'!$K:$K,'Bid Data'!$A:$A,F$5,'Bid Data'!$H:$H,$A21,'Bid Data'!$J:$J,$C21,'Bid Data'!$G:$G,"Yes"))</f>
        <v/>
      </c>
      <c r="I21" s="13">
        <f>IFERROR(AVERAGEIFS('Bid Data'!$L:$L,'Bid Data'!$H:$H,$A21,'Bid Data'!$J:$J,$C21,'Bid Data'!$G:$G,"Yes",'Bid Data'!$D:$D,"&gt;="&amp;(TODAY()-91)),"")</f>
        <v/>
      </c>
      <c r="J21" s="13">
        <f>IFERROR(AVERAGEIFS('Bid Data'!$L:$L,'Bid Data'!$H:$H,$A21,'Bid Data'!$J:$J,$C21,'Bid Data'!$G:$G,"Yes",'Bid Data'!$D:$D,"&gt;="&amp;(TODAY()-183)),"")</f>
        <v/>
      </c>
      <c r="K21" s="13">
        <f>IFERROR(AVERAGEIFS('Bid Data'!$L:$L,'Bid Data'!$H:$H,$A21,'Bid Data'!$J:$J,$C21,'Bid Data'!$G:$G,"Yes",'Bid Data'!$D:$D,"&gt;="&amp;(TODAY()-365)),"")</f>
        <v/>
      </c>
      <c r="L21" s="13">
        <f>IFERROR(AVERAGEIFS('Bid Data'!$L:$L,'Bid Data'!$H:$H,$A21,'Bid Data'!$J:$J,$C21,'Bid Data'!$G:$G,"Yes"),"")</f>
        <v/>
      </c>
      <c r="M21" s="11">
        <f>COUNTIFS('Bid Data'!$H:$H,$A21,'Bid Data'!$J:$J,$C21,'Bid Data'!$G:$G,"Yes")</f>
        <v/>
      </c>
    </row>
    <row r="22">
      <c r="A22" s="11" t="inlineStr">
        <is>
          <t>F-164.4</t>
        </is>
      </c>
      <c r="B22" s="12" t="inlineStr">
        <is>
          <t>INSTALL PREDATOR APRON</t>
        </is>
      </c>
      <c r="C22" s="11" t="inlineStr">
        <is>
          <t>LF</t>
        </is>
      </c>
      <c r="D22" s="13">
        <f>IF(COUNTIFS('Bid Data'!$A:$A,D$5,'Bid Data'!$H:$H,$A22,'Bid Data'!$J:$J,$C22,'Bid Data'!$G:$G,"Yes")=0,"",SUMIFS('Bid Data'!$L:$L,'Bid Data'!$A:$A,D$5,'Bid Data'!$H:$H,$A22,'Bid Data'!$J:$J,$C22,'Bid Data'!$G:$G,"Yes"))</f>
        <v/>
      </c>
      <c r="E22" s="14">
        <f>IF(COUNTIFS('Bid Data'!$A:$A,D$5,'Bid Data'!$H:$H,$A22,'Bid Data'!$J:$J,$C22,'Bid Data'!$G:$G,"Yes")=0,"",SUMIFS('Bid Data'!$K:$K,'Bid Data'!$A:$A,D$5,'Bid Data'!$H:$H,$A22,'Bid Data'!$J:$J,$C22,'Bid Data'!$G:$G,"Yes"))</f>
        <v/>
      </c>
      <c r="F22" s="13">
        <f>IF(COUNTIFS('Bid Data'!$A:$A,F$5,'Bid Data'!$H:$H,$A22,'Bid Data'!$J:$J,$C22,'Bid Data'!$G:$G,"Yes")=0,"",SUMIFS('Bid Data'!$L:$L,'Bid Data'!$A:$A,F$5,'Bid Data'!$H:$H,$A22,'Bid Data'!$J:$J,$C22,'Bid Data'!$G:$G,"Yes"))</f>
        <v/>
      </c>
      <c r="G22" s="14">
        <f>IF(COUNTIFS('Bid Data'!$A:$A,F$5,'Bid Data'!$H:$H,$A22,'Bid Data'!$J:$J,$C22,'Bid Data'!$G:$G,"Yes")=0,"",SUMIFS('Bid Data'!$K:$K,'Bid Data'!$A:$A,F$5,'Bid Data'!$H:$H,$A22,'Bid Data'!$J:$J,$C22,'Bid Data'!$G:$G,"Yes"))</f>
        <v/>
      </c>
      <c r="I22" s="13">
        <f>IFERROR(AVERAGEIFS('Bid Data'!$L:$L,'Bid Data'!$H:$H,$A22,'Bid Data'!$J:$J,$C22,'Bid Data'!$G:$G,"Yes",'Bid Data'!$D:$D,"&gt;="&amp;(TODAY()-91)),"")</f>
        <v/>
      </c>
      <c r="J22" s="13">
        <f>IFERROR(AVERAGEIFS('Bid Data'!$L:$L,'Bid Data'!$H:$H,$A22,'Bid Data'!$J:$J,$C22,'Bid Data'!$G:$G,"Yes",'Bid Data'!$D:$D,"&gt;="&amp;(TODAY()-183)),"")</f>
        <v/>
      </c>
      <c r="K22" s="13">
        <f>IFERROR(AVERAGEIFS('Bid Data'!$L:$L,'Bid Data'!$H:$H,$A22,'Bid Data'!$J:$J,$C22,'Bid Data'!$G:$G,"Yes",'Bid Data'!$D:$D,"&gt;="&amp;(TODAY()-365)),"")</f>
        <v/>
      </c>
      <c r="L22" s="13">
        <f>IFERROR(AVERAGEIFS('Bid Data'!$L:$L,'Bid Data'!$H:$H,$A22,'Bid Data'!$J:$J,$C22,'Bid Data'!$G:$G,"Yes"),"")</f>
        <v/>
      </c>
      <c r="M22" s="11">
        <f>COUNTIFS('Bid Data'!$H:$H,$A22,'Bid Data'!$J:$J,$C22,'Bid Data'!$G:$G,"Yes")</f>
        <v/>
      </c>
    </row>
    <row r="23">
      <c r="A23" s="11" t="inlineStr">
        <is>
          <t>F-164.5</t>
        </is>
      </c>
      <c r="B23" s="12" t="inlineStr">
        <is>
          <t>INSTALL WATER GAP</t>
        </is>
      </c>
      <c r="C23" s="11" t="inlineStr">
        <is>
          <t>EA</t>
        </is>
      </c>
      <c r="D23" s="13">
        <f>IF(COUNTIFS('Bid Data'!$A:$A,D$5,'Bid Data'!$H:$H,$A23,'Bid Data'!$J:$J,$C23,'Bid Data'!$G:$G,"Yes")=0,"",SUMIFS('Bid Data'!$L:$L,'Bid Data'!$A:$A,D$5,'Bid Data'!$H:$H,$A23,'Bid Data'!$J:$J,$C23,'Bid Data'!$G:$G,"Yes"))</f>
        <v/>
      </c>
      <c r="E23" s="14">
        <f>IF(COUNTIFS('Bid Data'!$A:$A,D$5,'Bid Data'!$H:$H,$A23,'Bid Data'!$J:$J,$C23,'Bid Data'!$G:$G,"Yes")=0,"",SUMIFS('Bid Data'!$K:$K,'Bid Data'!$A:$A,D$5,'Bid Data'!$H:$H,$A23,'Bid Data'!$J:$J,$C23,'Bid Data'!$G:$G,"Yes"))</f>
        <v/>
      </c>
      <c r="F23" s="13">
        <f>IF(COUNTIFS('Bid Data'!$A:$A,F$5,'Bid Data'!$H:$H,$A23,'Bid Data'!$J:$J,$C23,'Bid Data'!$G:$G,"Yes")=0,"",SUMIFS('Bid Data'!$L:$L,'Bid Data'!$A:$A,F$5,'Bid Data'!$H:$H,$A23,'Bid Data'!$J:$J,$C23,'Bid Data'!$G:$G,"Yes"))</f>
        <v/>
      </c>
      <c r="G23" s="14">
        <f>IF(COUNTIFS('Bid Data'!$A:$A,F$5,'Bid Data'!$H:$H,$A23,'Bid Data'!$J:$J,$C23,'Bid Data'!$G:$G,"Yes")=0,"",SUMIFS('Bid Data'!$K:$K,'Bid Data'!$A:$A,F$5,'Bid Data'!$H:$H,$A23,'Bid Data'!$J:$J,$C23,'Bid Data'!$G:$G,"Yes"))</f>
        <v/>
      </c>
      <c r="I23" s="13">
        <f>IFERROR(AVERAGEIFS('Bid Data'!$L:$L,'Bid Data'!$H:$H,$A23,'Bid Data'!$J:$J,$C23,'Bid Data'!$G:$G,"Yes",'Bid Data'!$D:$D,"&gt;="&amp;(TODAY()-91)),"")</f>
        <v/>
      </c>
      <c r="J23" s="13">
        <f>IFERROR(AVERAGEIFS('Bid Data'!$L:$L,'Bid Data'!$H:$H,$A23,'Bid Data'!$J:$J,$C23,'Bid Data'!$G:$G,"Yes",'Bid Data'!$D:$D,"&gt;="&amp;(TODAY()-183)),"")</f>
        <v/>
      </c>
      <c r="K23" s="13">
        <f>IFERROR(AVERAGEIFS('Bid Data'!$L:$L,'Bid Data'!$H:$H,$A23,'Bid Data'!$J:$J,$C23,'Bid Data'!$G:$G,"Yes",'Bid Data'!$D:$D,"&gt;="&amp;(TODAY()-365)),"")</f>
        <v/>
      </c>
      <c r="L23" s="13">
        <f>IFERROR(AVERAGEIFS('Bid Data'!$L:$L,'Bid Data'!$H:$H,$A23,'Bid Data'!$J:$J,$C23,'Bid Data'!$G:$G,"Yes"),"")</f>
        <v/>
      </c>
      <c r="M23" s="11">
        <f>COUNTIFS('Bid Data'!$H:$H,$A23,'Bid Data'!$J:$J,$C23,'Bid Data'!$G:$G,"Yes")</f>
        <v/>
      </c>
    </row>
    <row r="24">
      <c r="A24" s="11" t="inlineStr">
        <is>
          <t>L-101-5.1</t>
        </is>
      </c>
      <c r="B24" s="12" t="inlineStr">
        <is>
          <t>FURNISH AND INSTALL 1-801 A(L), LED CLASS 1 ROTATING BEACON INCLUDING REMOVAL OF EXISTING BEACON, IN-PLACE AND ALL ELECTRICAL CONSTRUCTION</t>
        </is>
      </c>
      <c r="C24" s="11" t="inlineStr">
        <is>
          <t>LS</t>
        </is>
      </c>
      <c r="D24" s="13">
        <f>IF(COUNTIFS('Bid Data'!$A:$A,D$5,'Bid Data'!$H:$H,$A24,'Bid Data'!$J:$J,$C24,'Bid Data'!$G:$G,"Yes")=0,"",SUMIFS('Bid Data'!$L:$L,'Bid Data'!$A:$A,D$5,'Bid Data'!$H:$H,$A24,'Bid Data'!$J:$J,$C24,'Bid Data'!$G:$G,"Yes"))</f>
        <v/>
      </c>
      <c r="E24" s="14">
        <f>IF(COUNTIFS('Bid Data'!$A:$A,D$5,'Bid Data'!$H:$H,$A24,'Bid Data'!$J:$J,$C24,'Bid Data'!$G:$G,"Yes")=0,"",SUMIFS('Bid Data'!$K:$K,'Bid Data'!$A:$A,D$5,'Bid Data'!$H:$H,$A24,'Bid Data'!$J:$J,$C24,'Bid Data'!$G:$G,"Yes"))</f>
        <v/>
      </c>
      <c r="F24" s="13">
        <f>IF(COUNTIFS('Bid Data'!$A:$A,F$5,'Bid Data'!$H:$H,$A24,'Bid Data'!$J:$J,$C24,'Bid Data'!$G:$G,"Yes")=0,"",SUMIFS('Bid Data'!$L:$L,'Bid Data'!$A:$A,F$5,'Bid Data'!$H:$H,$A24,'Bid Data'!$J:$J,$C24,'Bid Data'!$G:$G,"Yes"))</f>
        <v/>
      </c>
      <c r="G24" s="14">
        <f>IF(COUNTIFS('Bid Data'!$A:$A,F$5,'Bid Data'!$H:$H,$A24,'Bid Data'!$J:$J,$C24,'Bid Data'!$G:$G,"Yes")=0,"",SUMIFS('Bid Data'!$K:$K,'Bid Data'!$A:$A,F$5,'Bid Data'!$H:$H,$A24,'Bid Data'!$J:$J,$C24,'Bid Data'!$G:$G,"Yes"))</f>
        <v/>
      </c>
      <c r="I24" s="13">
        <f>IFERROR(AVERAGEIFS('Bid Data'!$L:$L,'Bid Data'!$H:$H,$A24,'Bid Data'!$J:$J,$C24,'Bid Data'!$G:$G,"Yes",'Bid Data'!$D:$D,"&gt;="&amp;(TODAY()-91)),"")</f>
        <v/>
      </c>
      <c r="J24" s="13">
        <f>IFERROR(AVERAGEIFS('Bid Data'!$L:$L,'Bid Data'!$H:$H,$A24,'Bid Data'!$J:$J,$C24,'Bid Data'!$G:$G,"Yes",'Bid Data'!$D:$D,"&gt;="&amp;(TODAY()-183)),"")</f>
        <v/>
      </c>
      <c r="K24" s="13">
        <f>IFERROR(AVERAGEIFS('Bid Data'!$L:$L,'Bid Data'!$H:$H,$A24,'Bid Data'!$J:$J,$C24,'Bid Data'!$G:$G,"Yes",'Bid Data'!$D:$D,"&gt;="&amp;(TODAY()-365)),"")</f>
        <v/>
      </c>
      <c r="L24" s="13">
        <f>IFERROR(AVERAGEIFS('Bid Data'!$L:$L,'Bid Data'!$H:$H,$A24,'Bid Data'!$J:$J,$C24,'Bid Data'!$G:$G,"Yes"),"")</f>
        <v/>
      </c>
      <c r="M24" s="11">
        <f>COUNTIFS('Bid Data'!$H:$H,$A24,'Bid Data'!$J:$J,$C24,'Bid Data'!$G:$G,"Yes")</f>
        <v/>
      </c>
    </row>
    <row r="25">
      <c r="A25" s="11" t="inlineStr">
        <is>
          <t>L-103-5.1</t>
        </is>
      </c>
      <c r="B25" s="12" t="inlineStr">
        <is>
          <t>FURNISH AND INSTALL 50-FOOT TIP-DOWN TOWER AND FOUNDATION, INCLUDING REMOVAL OF EXISTING TOWER IN-PLACE AND ALL ELECTRICAL CONSTRUCTION</t>
        </is>
      </c>
      <c r="C25" s="11" t="inlineStr">
        <is>
          <t>LS</t>
        </is>
      </c>
      <c r="D25" s="13">
        <f>IF(COUNTIFS('Bid Data'!$A:$A,D$5,'Bid Data'!$H:$H,$A25,'Bid Data'!$J:$J,$C25,'Bid Data'!$G:$G,"Yes")=0,"",SUMIFS('Bid Data'!$L:$L,'Bid Data'!$A:$A,D$5,'Bid Data'!$H:$H,$A25,'Bid Data'!$J:$J,$C25,'Bid Data'!$G:$G,"Yes"))</f>
        <v/>
      </c>
      <c r="E25" s="14">
        <f>IF(COUNTIFS('Bid Data'!$A:$A,D$5,'Bid Data'!$H:$H,$A25,'Bid Data'!$J:$J,$C25,'Bid Data'!$G:$G,"Yes")=0,"",SUMIFS('Bid Data'!$K:$K,'Bid Data'!$A:$A,D$5,'Bid Data'!$H:$H,$A25,'Bid Data'!$J:$J,$C25,'Bid Data'!$G:$G,"Yes"))</f>
        <v/>
      </c>
      <c r="F25" s="13">
        <f>IF(COUNTIFS('Bid Data'!$A:$A,F$5,'Bid Data'!$H:$H,$A25,'Bid Data'!$J:$J,$C25,'Bid Data'!$G:$G,"Yes")=0,"",SUMIFS('Bid Data'!$L:$L,'Bid Data'!$A:$A,F$5,'Bid Data'!$H:$H,$A25,'Bid Data'!$J:$J,$C25,'Bid Data'!$G:$G,"Yes"))</f>
        <v/>
      </c>
      <c r="G25" s="14">
        <f>IF(COUNTIFS('Bid Data'!$A:$A,F$5,'Bid Data'!$H:$H,$A25,'Bid Data'!$J:$J,$C25,'Bid Data'!$G:$G,"Yes")=0,"",SUMIFS('Bid Data'!$K:$K,'Bid Data'!$A:$A,F$5,'Bid Data'!$H:$H,$A25,'Bid Data'!$J:$J,$C25,'Bid Data'!$G:$G,"Yes"))</f>
        <v/>
      </c>
      <c r="I25" s="13">
        <f>IFERROR(AVERAGEIFS('Bid Data'!$L:$L,'Bid Data'!$H:$H,$A25,'Bid Data'!$J:$J,$C25,'Bid Data'!$G:$G,"Yes",'Bid Data'!$D:$D,"&gt;="&amp;(TODAY()-91)),"")</f>
        <v/>
      </c>
      <c r="J25" s="13">
        <f>IFERROR(AVERAGEIFS('Bid Data'!$L:$L,'Bid Data'!$H:$H,$A25,'Bid Data'!$J:$J,$C25,'Bid Data'!$G:$G,"Yes",'Bid Data'!$D:$D,"&gt;="&amp;(TODAY()-183)),"")</f>
        <v/>
      </c>
      <c r="K25" s="13">
        <f>IFERROR(AVERAGEIFS('Bid Data'!$L:$L,'Bid Data'!$H:$H,$A25,'Bid Data'!$J:$J,$C25,'Bid Data'!$G:$G,"Yes",'Bid Data'!$D:$D,"&gt;="&amp;(TODAY()-365)),"")</f>
        <v/>
      </c>
      <c r="L25" s="13">
        <f>IFERROR(AVERAGEIFS('Bid Data'!$L:$L,'Bid Data'!$H:$H,$A25,'Bid Data'!$J:$J,$C25,'Bid Data'!$G:$G,"Yes"),"")</f>
        <v/>
      </c>
      <c r="M25" s="11">
        <f>COUNTIFS('Bid Data'!$H:$H,$A25,'Bid Data'!$J:$J,$C25,'Bid Data'!$G:$G,"Yes")</f>
        <v/>
      </c>
    </row>
    <row r="26">
      <c r="A26" s="11" t="inlineStr">
        <is>
          <t>L-107-5.1</t>
        </is>
      </c>
      <c r="B26" s="12" t="inlineStr">
        <is>
          <t>FURNISH AND INSTALL LED 1-B INTERNALLY LIGHTED, FAA SIZE 2 WIND CONE AND FOUNDATION ON TILT-OVER MAST, INCLUDING REMOVAL OF EXISTING WIND CONE, FOUNDATION AND ALL ELECTRICAL CONSTRUCTION</t>
        </is>
      </c>
      <c r="C26" s="11" t="inlineStr">
        <is>
          <t>EA</t>
        </is>
      </c>
      <c r="D26" s="13">
        <f>IF(COUNTIFS('Bid Data'!$A:$A,D$5,'Bid Data'!$H:$H,$A26,'Bid Data'!$J:$J,$C26,'Bid Data'!$G:$G,"Yes")=0,"",SUMIFS('Bid Data'!$L:$L,'Bid Data'!$A:$A,D$5,'Bid Data'!$H:$H,$A26,'Bid Data'!$J:$J,$C26,'Bid Data'!$G:$G,"Yes"))</f>
        <v/>
      </c>
      <c r="E26" s="14">
        <f>IF(COUNTIFS('Bid Data'!$A:$A,D$5,'Bid Data'!$H:$H,$A26,'Bid Data'!$J:$J,$C26,'Bid Data'!$G:$G,"Yes")=0,"",SUMIFS('Bid Data'!$K:$K,'Bid Data'!$A:$A,D$5,'Bid Data'!$H:$H,$A26,'Bid Data'!$J:$J,$C26,'Bid Data'!$G:$G,"Yes"))</f>
        <v/>
      </c>
      <c r="F26" s="13">
        <f>IF(COUNTIFS('Bid Data'!$A:$A,F$5,'Bid Data'!$H:$H,$A26,'Bid Data'!$J:$J,$C26,'Bid Data'!$G:$G,"Yes")=0,"",SUMIFS('Bid Data'!$L:$L,'Bid Data'!$A:$A,F$5,'Bid Data'!$H:$H,$A26,'Bid Data'!$J:$J,$C26,'Bid Data'!$G:$G,"Yes"))</f>
        <v/>
      </c>
      <c r="G26" s="14">
        <f>IF(COUNTIFS('Bid Data'!$A:$A,F$5,'Bid Data'!$H:$H,$A26,'Bid Data'!$J:$J,$C26,'Bid Data'!$G:$G,"Yes")=0,"",SUMIFS('Bid Data'!$K:$K,'Bid Data'!$A:$A,F$5,'Bid Data'!$H:$H,$A26,'Bid Data'!$J:$J,$C26,'Bid Data'!$G:$G,"Yes"))</f>
        <v/>
      </c>
      <c r="I26" s="13">
        <f>IFERROR(AVERAGEIFS('Bid Data'!$L:$L,'Bid Data'!$H:$H,$A26,'Bid Data'!$J:$J,$C26,'Bid Data'!$G:$G,"Yes",'Bid Data'!$D:$D,"&gt;="&amp;(TODAY()-91)),"")</f>
        <v/>
      </c>
      <c r="J26" s="13">
        <f>IFERROR(AVERAGEIFS('Bid Data'!$L:$L,'Bid Data'!$H:$H,$A26,'Bid Data'!$J:$J,$C26,'Bid Data'!$G:$G,"Yes",'Bid Data'!$D:$D,"&gt;="&amp;(TODAY()-183)),"")</f>
        <v/>
      </c>
      <c r="K26" s="13">
        <f>IFERROR(AVERAGEIFS('Bid Data'!$L:$L,'Bid Data'!$H:$H,$A26,'Bid Data'!$J:$J,$C26,'Bid Data'!$G:$G,"Yes",'Bid Data'!$D:$D,"&gt;="&amp;(TODAY()-365)),"")</f>
        <v/>
      </c>
      <c r="L26" s="13">
        <f>IFERROR(AVERAGEIFS('Bid Data'!$L:$L,'Bid Data'!$H:$H,$A26,'Bid Data'!$J:$J,$C26,'Bid Data'!$G:$G,"Yes"),"")</f>
        <v/>
      </c>
      <c r="M26" s="11">
        <f>COUNTIFS('Bid Data'!$H:$H,$A26,'Bid Data'!$J:$J,$C26,'Bid Data'!$G:$G,"Yes")</f>
        <v/>
      </c>
    </row>
    <row r="27">
      <c r="A27" s="11" t="inlineStr">
        <is>
          <t>L-108-5.1</t>
        </is>
      </c>
      <c r="B27" s="12" t="inlineStr">
        <is>
          <t>TRENCHING, BACKFILL, AND COMPACT FOR PVC CONDUIT, 24-INCH MINIMUM DEPTH</t>
        </is>
      </c>
      <c r="C27" s="11" t="inlineStr">
        <is>
          <t>LF</t>
        </is>
      </c>
      <c r="D27" s="13">
        <f>IF(COUNTIFS('Bid Data'!$A:$A,D$5,'Bid Data'!$H:$H,$A27,'Bid Data'!$J:$J,$C27,'Bid Data'!$G:$G,"Yes")=0,"",SUMIFS('Bid Data'!$L:$L,'Bid Data'!$A:$A,D$5,'Bid Data'!$H:$H,$A27,'Bid Data'!$J:$J,$C27,'Bid Data'!$G:$G,"Yes"))</f>
        <v/>
      </c>
      <c r="E27" s="14">
        <f>IF(COUNTIFS('Bid Data'!$A:$A,D$5,'Bid Data'!$H:$H,$A27,'Bid Data'!$J:$J,$C27,'Bid Data'!$G:$G,"Yes")=0,"",SUMIFS('Bid Data'!$K:$K,'Bid Data'!$A:$A,D$5,'Bid Data'!$H:$H,$A27,'Bid Data'!$J:$J,$C27,'Bid Data'!$G:$G,"Yes"))</f>
        <v/>
      </c>
      <c r="F27" s="13">
        <f>IF(COUNTIFS('Bid Data'!$A:$A,F$5,'Bid Data'!$H:$H,$A27,'Bid Data'!$J:$J,$C27,'Bid Data'!$G:$G,"Yes")=0,"",SUMIFS('Bid Data'!$L:$L,'Bid Data'!$A:$A,F$5,'Bid Data'!$H:$H,$A27,'Bid Data'!$J:$J,$C27,'Bid Data'!$G:$G,"Yes"))</f>
        <v/>
      </c>
      <c r="G27" s="14">
        <f>IF(COUNTIFS('Bid Data'!$A:$A,F$5,'Bid Data'!$H:$H,$A27,'Bid Data'!$J:$J,$C27,'Bid Data'!$G:$G,"Yes")=0,"",SUMIFS('Bid Data'!$K:$K,'Bid Data'!$A:$A,F$5,'Bid Data'!$H:$H,$A27,'Bid Data'!$J:$J,$C27,'Bid Data'!$G:$G,"Yes"))</f>
        <v/>
      </c>
      <c r="I27" s="13">
        <f>IFERROR(AVERAGEIFS('Bid Data'!$L:$L,'Bid Data'!$H:$H,$A27,'Bid Data'!$J:$J,$C27,'Bid Data'!$G:$G,"Yes",'Bid Data'!$D:$D,"&gt;="&amp;(TODAY()-91)),"")</f>
        <v/>
      </c>
      <c r="J27" s="13">
        <f>IFERROR(AVERAGEIFS('Bid Data'!$L:$L,'Bid Data'!$H:$H,$A27,'Bid Data'!$J:$J,$C27,'Bid Data'!$G:$G,"Yes",'Bid Data'!$D:$D,"&gt;="&amp;(TODAY()-183)),"")</f>
        <v/>
      </c>
      <c r="K27" s="13">
        <f>IFERROR(AVERAGEIFS('Bid Data'!$L:$L,'Bid Data'!$H:$H,$A27,'Bid Data'!$J:$J,$C27,'Bid Data'!$G:$G,"Yes",'Bid Data'!$D:$D,"&gt;="&amp;(TODAY()-365)),"")</f>
        <v/>
      </c>
      <c r="L27" s="13">
        <f>IFERROR(AVERAGEIFS('Bid Data'!$L:$L,'Bid Data'!$H:$H,$A27,'Bid Data'!$J:$J,$C27,'Bid Data'!$G:$G,"Yes"),"")</f>
        <v/>
      </c>
      <c r="M27" s="11">
        <f>COUNTIFS('Bid Data'!$H:$H,$A27,'Bid Data'!$J:$J,$C27,'Bid Data'!$G:$G,"Yes")</f>
        <v/>
      </c>
    </row>
    <row r="28">
      <c r="A28" s="11" t="inlineStr">
        <is>
          <t>L-108-5.2</t>
        </is>
      </c>
      <c r="B28" s="12" t="inlineStr">
        <is>
          <t>TRENCHING, BACKFILL, AND COMPACT FOR PVC CONDUIT, 40-INCH MINIMUM DEPTH</t>
        </is>
      </c>
      <c r="C28" s="11" t="inlineStr">
        <is>
          <t>LF</t>
        </is>
      </c>
      <c r="D28" s="13">
        <f>IF(COUNTIFS('Bid Data'!$A:$A,D$5,'Bid Data'!$H:$H,$A28,'Bid Data'!$J:$J,$C28,'Bid Data'!$G:$G,"Yes")=0,"",SUMIFS('Bid Data'!$L:$L,'Bid Data'!$A:$A,D$5,'Bid Data'!$H:$H,$A28,'Bid Data'!$J:$J,$C28,'Bid Data'!$G:$G,"Yes"))</f>
        <v/>
      </c>
      <c r="E28" s="14">
        <f>IF(COUNTIFS('Bid Data'!$A:$A,D$5,'Bid Data'!$H:$H,$A28,'Bid Data'!$J:$J,$C28,'Bid Data'!$G:$G,"Yes")=0,"",SUMIFS('Bid Data'!$K:$K,'Bid Data'!$A:$A,D$5,'Bid Data'!$H:$H,$A28,'Bid Data'!$J:$J,$C28,'Bid Data'!$G:$G,"Yes"))</f>
        <v/>
      </c>
      <c r="F28" s="13">
        <f>IF(COUNTIFS('Bid Data'!$A:$A,F$5,'Bid Data'!$H:$H,$A28,'Bid Data'!$J:$J,$C28,'Bid Data'!$G:$G,"Yes")=0,"",SUMIFS('Bid Data'!$L:$L,'Bid Data'!$A:$A,F$5,'Bid Data'!$H:$H,$A28,'Bid Data'!$J:$J,$C28,'Bid Data'!$G:$G,"Yes"))</f>
        <v/>
      </c>
      <c r="G28" s="14">
        <f>IF(COUNTIFS('Bid Data'!$A:$A,F$5,'Bid Data'!$H:$H,$A28,'Bid Data'!$J:$J,$C28,'Bid Data'!$G:$G,"Yes")=0,"",SUMIFS('Bid Data'!$K:$K,'Bid Data'!$A:$A,F$5,'Bid Data'!$H:$H,$A28,'Bid Data'!$J:$J,$C28,'Bid Data'!$G:$G,"Yes"))</f>
        <v/>
      </c>
      <c r="I28" s="13">
        <f>IFERROR(AVERAGEIFS('Bid Data'!$L:$L,'Bid Data'!$H:$H,$A28,'Bid Data'!$J:$J,$C28,'Bid Data'!$G:$G,"Yes",'Bid Data'!$D:$D,"&gt;="&amp;(TODAY()-91)),"")</f>
        <v/>
      </c>
      <c r="J28" s="13">
        <f>IFERROR(AVERAGEIFS('Bid Data'!$L:$L,'Bid Data'!$H:$H,$A28,'Bid Data'!$J:$J,$C28,'Bid Data'!$G:$G,"Yes",'Bid Data'!$D:$D,"&gt;="&amp;(TODAY()-183)),"")</f>
        <v/>
      </c>
      <c r="K28" s="13">
        <f>IFERROR(AVERAGEIFS('Bid Data'!$L:$L,'Bid Data'!$H:$H,$A28,'Bid Data'!$J:$J,$C28,'Bid Data'!$G:$G,"Yes",'Bid Data'!$D:$D,"&gt;="&amp;(TODAY()-365)),"")</f>
        <v/>
      </c>
      <c r="L28" s="13">
        <f>IFERROR(AVERAGEIFS('Bid Data'!$L:$L,'Bid Data'!$H:$H,$A28,'Bid Data'!$J:$J,$C28,'Bid Data'!$G:$G,"Yes"),"")</f>
        <v/>
      </c>
      <c r="M28" s="11">
        <f>COUNTIFS('Bid Data'!$H:$H,$A28,'Bid Data'!$J:$J,$C28,'Bid Data'!$G:$G,"Yes")</f>
        <v/>
      </c>
    </row>
    <row r="29">
      <c r="A29" s="11" t="inlineStr">
        <is>
          <t>L-108-5.3</t>
        </is>
      </c>
      <c r="B29" s="12" t="inlineStr">
        <is>
          <t>NO. 8 AWG 5KV, L-824 TYPE C CABLE, INSTALLED IN TRENCH, DUCT BANK OR CONDUIT, EDGE LIGHTS</t>
        </is>
      </c>
      <c r="C29" s="11" t="inlineStr">
        <is>
          <t>LF</t>
        </is>
      </c>
      <c r="D29" s="13">
        <f>IF(COUNTIFS('Bid Data'!$A:$A,D$5,'Bid Data'!$H:$H,$A29,'Bid Data'!$J:$J,$C29,'Bid Data'!$G:$G,"Yes")=0,"",SUMIFS('Bid Data'!$L:$L,'Bid Data'!$A:$A,D$5,'Bid Data'!$H:$H,$A29,'Bid Data'!$J:$J,$C29,'Bid Data'!$G:$G,"Yes"))</f>
        <v/>
      </c>
      <c r="E29" s="14">
        <f>IF(COUNTIFS('Bid Data'!$A:$A,D$5,'Bid Data'!$H:$H,$A29,'Bid Data'!$J:$J,$C29,'Bid Data'!$G:$G,"Yes")=0,"",SUMIFS('Bid Data'!$K:$K,'Bid Data'!$A:$A,D$5,'Bid Data'!$H:$H,$A29,'Bid Data'!$J:$J,$C29,'Bid Data'!$G:$G,"Yes"))</f>
        <v/>
      </c>
      <c r="F29" s="13">
        <f>IF(COUNTIFS('Bid Data'!$A:$A,F$5,'Bid Data'!$H:$H,$A29,'Bid Data'!$J:$J,$C29,'Bid Data'!$G:$G,"Yes")=0,"",SUMIFS('Bid Data'!$L:$L,'Bid Data'!$A:$A,F$5,'Bid Data'!$H:$H,$A29,'Bid Data'!$J:$J,$C29,'Bid Data'!$G:$G,"Yes"))</f>
        <v/>
      </c>
      <c r="G29" s="14">
        <f>IF(COUNTIFS('Bid Data'!$A:$A,F$5,'Bid Data'!$H:$H,$A29,'Bid Data'!$J:$J,$C29,'Bid Data'!$G:$G,"Yes")=0,"",SUMIFS('Bid Data'!$K:$K,'Bid Data'!$A:$A,F$5,'Bid Data'!$H:$H,$A29,'Bid Data'!$J:$J,$C29,'Bid Data'!$G:$G,"Yes"))</f>
        <v/>
      </c>
      <c r="I29" s="13">
        <f>IFERROR(AVERAGEIFS('Bid Data'!$L:$L,'Bid Data'!$H:$H,$A29,'Bid Data'!$J:$J,$C29,'Bid Data'!$G:$G,"Yes",'Bid Data'!$D:$D,"&gt;="&amp;(TODAY()-91)),"")</f>
        <v/>
      </c>
      <c r="J29" s="13">
        <f>IFERROR(AVERAGEIFS('Bid Data'!$L:$L,'Bid Data'!$H:$H,$A29,'Bid Data'!$J:$J,$C29,'Bid Data'!$G:$G,"Yes",'Bid Data'!$D:$D,"&gt;="&amp;(TODAY()-183)),"")</f>
        <v/>
      </c>
      <c r="K29" s="13">
        <f>IFERROR(AVERAGEIFS('Bid Data'!$L:$L,'Bid Data'!$H:$H,$A29,'Bid Data'!$J:$J,$C29,'Bid Data'!$G:$G,"Yes",'Bid Data'!$D:$D,"&gt;="&amp;(TODAY()-365)),"")</f>
        <v/>
      </c>
      <c r="L29" s="13">
        <f>IFERROR(AVERAGEIFS('Bid Data'!$L:$L,'Bid Data'!$H:$H,$A29,'Bid Data'!$J:$J,$C29,'Bid Data'!$G:$G,"Yes"),"")</f>
        <v/>
      </c>
      <c r="M29" s="11">
        <f>COUNTIFS('Bid Data'!$H:$H,$A29,'Bid Data'!$J:$J,$C29,'Bid Data'!$G:$G,"Yes")</f>
        <v/>
      </c>
    </row>
    <row r="30">
      <c r="A30" s="11" t="inlineStr">
        <is>
          <t>L-108-5.4</t>
        </is>
      </c>
      <c r="B30" s="12" t="inlineStr">
        <is>
          <t>NO. 8 AWG SKV, L-824 TYPE C CABLE, INSTALLED IN TRENCH, DUCT BANK, OR CONDUIT, PAPI-2</t>
        </is>
      </c>
      <c r="C30" s="11" t="inlineStr">
        <is>
          <t>LF</t>
        </is>
      </c>
      <c r="D30" s="13">
        <f>IF(COUNTIFS('Bid Data'!$A:$A,D$5,'Bid Data'!$H:$H,$A30,'Bid Data'!$J:$J,$C30,'Bid Data'!$G:$G,"Yes")=0,"",SUMIFS('Bid Data'!$L:$L,'Bid Data'!$A:$A,D$5,'Bid Data'!$H:$H,$A30,'Bid Data'!$J:$J,$C30,'Bid Data'!$G:$G,"Yes"))</f>
        <v/>
      </c>
      <c r="E30" s="14">
        <f>IF(COUNTIFS('Bid Data'!$A:$A,D$5,'Bid Data'!$H:$H,$A30,'Bid Data'!$J:$J,$C30,'Bid Data'!$G:$G,"Yes")=0,"",SUMIFS('Bid Data'!$K:$K,'Bid Data'!$A:$A,D$5,'Bid Data'!$H:$H,$A30,'Bid Data'!$J:$J,$C30,'Bid Data'!$G:$G,"Yes"))</f>
        <v/>
      </c>
      <c r="F30" s="13">
        <f>IF(COUNTIFS('Bid Data'!$A:$A,F$5,'Bid Data'!$H:$H,$A30,'Bid Data'!$J:$J,$C30,'Bid Data'!$G:$G,"Yes")=0,"",SUMIFS('Bid Data'!$L:$L,'Bid Data'!$A:$A,F$5,'Bid Data'!$H:$H,$A30,'Bid Data'!$J:$J,$C30,'Bid Data'!$G:$G,"Yes"))</f>
        <v/>
      </c>
      <c r="G30" s="14">
        <f>IF(COUNTIFS('Bid Data'!$A:$A,F$5,'Bid Data'!$H:$H,$A30,'Bid Data'!$J:$J,$C30,'Bid Data'!$G:$G,"Yes")=0,"",SUMIFS('Bid Data'!$K:$K,'Bid Data'!$A:$A,F$5,'Bid Data'!$H:$H,$A30,'Bid Data'!$J:$J,$C30,'Bid Data'!$G:$G,"Yes"))</f>
        <v/>
      </c>
      <c r="I30" s="13">
        <f>IFERROR(AVERAGEIFS('Bid Data'!$L:$L,'Bid Data'!$H:$H,$A30,'Bid Data'!$J:$J,$C30,'Bid Data'!$G:$G,"Yes",'Bid Data'!$D:$D,"&gt;="&amp;(TODAY()-91)),"")</f>
        <v/>
      </c>
      <c r="J30" s="13">
        <f>IFERROR(AVERAGEIFS('Bid Data'!$L:$L,'Bid Data'!$H:$H,$A30,'Bid Data'!$J:$J,$C30,'Bid Data'!$G:$G,"Yes",'Bid Data'!$D:$D,"&gt;="&amp;(TODAY()-183)),"")</f>
        <v/>
      </c>
      <c r="K30" s="13">
        <f>IFERROR(AVERAGEIFS('Bid Data'!$L:$L,'Bid Data'!$H:$H,$A30,'Bid Data'!$J:$J,$C30,'Bid Data'!$G:$G,"Yes",'Bid Data'!$D:$D,"&gt;="&amp;(TODAY()-365)),"")</f>
        <v/>
      </c>
      <c r="L30" s="13">
        <f>IFERROR(AVERAGEIFS('Bid Data'!$L:$L,'Bid Data'!$H:$H,$A30,'Bid Data'!$J:$J,$C30,'Bid Data'!$G:$G,"Yes"),"")</f>
        <v/>
      </c>
      <c r="M30" s="11">
        <f>COUNTIFS('Bid Data'!$H:$H,$A30,'Bid Data'!$J:$J,$C30,'Bid Data'!$G:$G,"Yes")</f>
        <v/>
      </c>
    </row>
    <row r="31">
      <c r="A31" s="11" t="inlineStr">
        <is>
          <t>L-108-5.5</t>
        </is>
      </c>
      <c r="B31" s="12" t="inlineStr">
        <is>
          <t>NO. 6 AWG, SOLID, BARE COPPER GROUND WIRE W/ GROUNDING RODS, INSTALLED ABOVE DUCT BANK OR CONDUIT, INCLUDING CONNECTIONS/TERMINATIONS</t>
        </is>
      </c>
      <c r="C31" s="11" t="inlineStr">
        <is>
          <t>LF</t>
        </is>
      </c>
      <c r="D31" s="13">
        <f>IF(COUNTIFS('Bid Data'!$A:$A,D$5,'Bid Data'!$H:$H,$A31,'Bid Data'!$J:$J,$C31,'Bid Data'!$G:$G,"Yes")=0,"",SUMIFS('Bid Data'!$L:$L,'Bid Data'!$A:$A,D$5,'Bid Data'!$H:$H,$A31,'Bid Data'!$J:$J,$C31,'Bid Data'!$G:$G,"Yes"))</f>
        <v/>
      </c>
      <c r="E31" s="14">
        <f>IF(COUNTIFS('Bid Data'!$A:$A,D$5,'Bid Data'!$H:$H,$A31,'Bid Data'!$J:$J,$C31,'Bid Data'!$G:$G,"Yes")=0,"",SUMIFS('Bid Data'!$K:$K,'Bid Data'!$A:$A,D$5,'Bid Data'!$H:$H,$A31,'Bid Data'!$J:$J,$C31,'Bid Data'!$G:$G,"Yes"))</f>
        <v/>
      </c>
      <c r="F31" s="13">
        <f>IF(COUNTIFS('Bid Data'!$A:$A,F$5,'Bid Data'!$H:$H,$A31,'Bid Data'!$J:$J,$C31,'Bid Data'!$G:$G,"Yes")=0,"",SUMIFS('Bid Data'!$L:$L,'Bid Data'!$A:$A,F$5,'Bid Data'!$H:$H,$A31,'Bid Data'!$J:$J,$C31,'Bid Data'!$G:$G,"Yes"))</f>
        <v/>
      </c>
      <c r="G31" s="14">
        <f>IF(COUNTIFS('Bid Data'!$A:$A,F$5,'Bid Data'!$H:$H,$A31,'Bid Data'!$J:$J,$C31,'Bid Data'!$G:$G,"Yes")=0,"",SUMIFS('Bid Data'!$K:$K,'Bid Data'!$A:$A,F$5,'Bid Data'!$H:$H,$A31,'Bid Data'!$J:$J,$C31,'Bid Data'!$G:$G,"Yes"))</f>
        <v/>
      </c>
      <c r="I31" s="13">
        <f>IFERROR(AVERAGEIFS('Bid Data'!$L:$L,'Bid Data'!$H:$H,$A31,'Bid Data'!$J:$J,$C31,'Bid Data'!$G:$G,"Yes",'Bid Data'!$D:$D,"&gt;="&amp;(TODAY()-91)),"")</f>
        <v/>
      </c>
      <c r="J31" s="13">
        <f>IFERROR(AVERAGEIFS('Bid Data'!$L:$L,'Bid Data'!$H:$H,$A31,'Bid Data'!$J:$J,$C31,'Bid Data'!$G:$G,"Yes",'Bid Data'!$D:$D,"&gt;="&amp;(TODAY()-183)),"")</f>
        <v/>
      </c>
      <c r="K31" s="13">
        <f>IFERROR(AVERAGEIFS('Bid Data'!$L:$L,'Bid Data'!$H:$H,$A31,'Bid Data'!$J:$J,$C31,'Bid Data'!$G:$G,"Yes",'Bid Data'!$D:$D,"&gt;="&amp;(TODAY()-365)),"")</f>
        <v/>
      </c>
      <c r="L31" s="13">
        <f>IFERROR(AVERAGEIFS('Bid Data'!$L:$L,'Bid Data'!$H:$H,$A31,'Bid Data'!$J:$J,$C31,'Bid Data'!$G:$G,"Yes"),"")</f>
        <v/>
      </c>
      <c r="M31" s="11">
        <f>COUNTIFS('Bid Data'!$H:$H,$A31,'Bid Data'!$J:$J,$C31,'Bid Data'!$G:$G,"Yes")</f>
        <v/>
      </c>
    </row>
    <row r="32">
      <c r="A32" s="11" t="inlineStr">
        <is>
          <t>L-108-5.6</t>
        </is>
      </c>
      <c r="B32" s="12" t="inlineStr">
        <is>
          <t>NO. 6 AWG, INSULATED, STRANDED EQUIPMENT BONDING, INSTALLED IN DUCT BANK OR CONDUIT</t>
        </is>
      </c>
      <c r="C32" s="11" t="inlineStr">
        <is>
          <t>LF</t>
        </is>
      </c>
      <c r="D32" s="13">
        <f>IF(COUNTIFS('Bid Data'!$A:$A,D$5,'Bid Data'!$H:$H,$A32,'Bid Data'!$J:$J,$C32,'Bid Data'!$G:$G,"Yes")=0,"",SUMIFS('Bid Data'!$L:$L,'Bid Data'!$A:$A,D$5,'Bid Data'!$H:$H,$A32,'Bid Data'!$J:$J,$C32,'Bid Data'!$G:$G,"Yes"))</f>
        <v/>
      </c>
      <c r="E32" s="14">
        <f>IF(COUNTIFS('Bid Data'!$A:$A,D$5,'Bid Data'!$H:$H,$A32,'Bid Data'!$J:$J,$C32,'Bid Data'!$G:$G,"Yes")=0,"",SUMIFS('Bid Data'!$K:$K,'Bid Data'!$A:$A,D$5,'Bid Data'!$H:$H,$A32,'Bid Data'!$J:$J,$C32,'Bid Data'!$G:$G,"Yes"))</f>
        <v/>
      </c>
      <c r="F32" s="13">
        <f>IF(COUNTIFS('Bid Data'!$A:$A,F$5,'Bid Data'!$H:$H,$A32,'Bid Data'!$J:$J,$C32,'Bid Data'!$G:$G,"Yes")=0,"",SUMIFS('Bid Data'!$L:$L,'Bid Data'!$A:$A,F$5,'Bid Data'!$H:$H,$A32,'Bid Data'!$J:$J,$C32,'Bid Data'!$G:$G,"Yes"))</f>
        <v/>
      </c>
      <c r="G32" s="14">
        <f>IF(COUNTIFS('Bid Data'!$A:$A,F$5,'Bid Data'!$H:$H,$A32,'Bid Data'!$J:$J,$C32,'Bid Data'!$G:$G,"Yes")=0,"",SUMIFS('Bid Data'!$K:$K,'Bid Data'!$A:$A,F$5,'Bid Data'!$H:$H,$A32,'Bid Data'!$J:$J,$C32,'Bid Data'!$G:$G,"Yes"))</f>
        <v/>
      </c>
      <c r="I32" s="13">
        <f>IFERROR(AVERAGEIFS('Bid Data'!$L:$L,'Bid Data'!$H:$H,$A32,'Bid Data'!$J:$J,$C32,'Bid Data'!$G:$G,"Yes",'Bid Data'!$D:$D,"&gt;="&amp;(TODAY()-91)),"")</f>
        <v/>
      </c>
      <c r="J32" s="13">
        <f>IFERROR(AVERAGEIFS('Bid Data'!$L:$L,'Bid Data'!$H:$H,$A32,'Bid Data'!$J:$J,$C32,'Bid Data'!$G:$G,"Yes",'Bid Data'!$D:$D,"&gt;="&amp;(TODAY()-183)),"")</f>
        <v/>
      </c>
      <c r="K32" s="13">
        <f>IFERROR(AVERAGEIFS('Bid Data'!$L:$L,'Bid Data'!$H:$H,$A32,'Bid Data'!$J:$J,$C32,'Bid Data'!$G:$G,"Yes",'Bid Data'!$D:$D,"&gt;="&amp;(TODAY()-365)),"")</f>
        <v/>
      </c>
      <c r="L32" s="13">
        <f>IFERROR(AVERAGEIFS('Bid Data'!$L:$L,'Bid Data'!$H:$H,$A32,'Bid Data'!$J:$J,$C32,'Bid Data'!$G:$G,"Yes"),"")</f>
        <v/>
      </c>
      <c r="M32" s="11">
        <f>COUNTIFS('Bid Data'!$H:$H,$A32,'Bid Data'!$J:$J,$C32,'Bid Data'!$G:$G,"Yes")</f>
        <v/>
      </c>
    </row>
    <row r="33">
      <c r="A33" s="11" t="inlineStr">
        <is>
          <t>L-108-5.7</t>
        </is>
      </c>
      <c r="B33" s="12" t="inlineStr">
        <is>
          <t>INSTALL NO. 4/0 AWG VAULT COUNTERPOISE COMPLETE WITH TRENCH, GROUND RODS, AND EXOTHERMIC BONDING, AROUND NEW VAULT</t>
        </is>
      </c>
      <c r="C33" s="11" t="inlineStr">
        <is>
          <t>LF</t>
        </is>
      </c>
      <c r="D33" s="13">
        <f>IF(COUNTIFS('Bid Data'!$A:$A,D$5,'Bid Data'!$H:$H,$A33,'Bid Data'!$J:$J,$C33,'Bid Data'!$G:$G,"Yes")=0,"",SUMIFS('Bid Data'!$L:$L,'Bid Data'!$A:$A,D$5,'Bid Data'!$H:$H,$A33,'Bid Data'!$J:$J,$C33,'Bid Data'!$G:$G,"Yes"))</f>
        <v/>
      </c>
      <c r="E33" s="14">
        <f>IF(COUNTIFS('Bid Data'!$A:$A,D$5,'Bid Data'!$H:$H,$A33,'Bid Data'!$J:$J,$C33,'Bid Data'!$G:$G,"Yes")=0,"",SUMIFS('Bid Data'!$K:$K,'Bid Data'!$A:$A,D$5,'Bid Data'!$H:$H,$A33,'Bid Data'!$J:$J,$C33,'Bid Data'!$G:$G,"Yes"))</f>
        <v/>
      </c>
      <c r="F33" s="13">
        <f>IF(COUNTIFS('Bid Data'!$A:$A,F$5,'Bid Data'!$H:$H,$A33,'Bid Data'!$J:$J,$C33,'Bid Data'!$G:$G,"Yes")=0,"",SUMIFS('Bid Data'!$L:$L,'Bid Data'!$A:$A,F$5,'Bid Data'!$H:$H,$A33,'Bid Data'!$J:$J,$C33,'Bid Data'!$G:$G,"Yes"))</f>
        <v/>
      </c>
      <c r="G33" s="14">
        <f>IF(COUNTIFS('Bid Data'!$A:$A,F$5,'Bid Data'!$H:$H,$A33,'Bid Data'!$J:$J,$C33,'Bid Data'!$G:$G,"Yes")=0,"",SUMIFS('Bid Data'!$K:$K,'Bid Data'!$A:$A,F$5,'Bid Data'!$H:$H,$A33,'Bid Data'!$J:$J,$C33,'Bid Data'!$G:$G,"Yes"))</f>
        <v/>
      </c>
      <c r="I33" s="13">
        <f>IFERROR(AVERAGEIFS('Bid Data'!$L:$L,'Bid Data'!$H:$H,$A33,'Bid Data'!$J:$J,$C33,'Bid Data'!$G:$G,"Yes",'Bid Data'!$D:$D,"&gt;="&amp;(TODAY()-91)),"")</f>
        <v/>
      </c>
      <c r="J33" s="13">
        <f>IFERROR(AVERAGEIFS('Bid Data'!$L:$L,'Bid Data'!$H:$H,$A33,'Bid Data'!$J:$J,$C33,'Bid Data'!$G:$G,"Yes",'Bid Data'!$D:$D,"&gt;="&amp;(TODAY()-183)),"")</f>
        <v/>
      </c>
      <c r="K33" s="13">
        <f>IFERROR(AVERAGEIFS('Bid Data'!$L:$L,'Bid Data'!$H:$H,$A33,'Bid Data'!$J:$J,$C33,'Bid Data'!$G:$G,"Yes",'Bid Data'!$D:$D,"&gt;="&amp;(TODAY()-365)),"")</f>
        <v/>
      </c>
      <c r="L33" s="13">
        <f>IFERROR(AVERAGEIFS('Bid Data'!$L:$L,'Bid Data'!$H:$H,$A33,'Bid Data'!$J:$J,$C33,'Bid Data'!$G:$G,"Yes"),"")</f>
        <v/>
      </c>
      <c r="M33" s="11">
        <f>COUNTIFS('Bid Data'!$H:$H,$A33,'Bid Data'!$J:$J,$C33,'Bid Data'!$G:$G,"Yes")</f>
        <v/>
      </c>
    </row>
    <row r="34">
      <c r="A34" s="11" t="inlineStr">
        <is>
          <t>L-109-7.1</t>
        </is>
      </c>
      <c r="B34" s="12" t="inlineStr">
        <is>
          <t>FURNISH AND INSTALL NEW 7.5KW, 6.6 AMP, THREE-STEP CONSTANT CURRENT REGULATOR WITH OUTPUT VOLTMETER AND AMMETER, MIRLS</t>
        </is>
      </c>
      <c r="C34" s="11" t="inlineStr">
        <is>
          <t>EA</t>
        </is>
      </c>
      <c r="D34" s="13">
        <f>IF(COUNTIFS('Bid Data'!$A:$A,D$5,'Bid Data'!$H:$H,$A34,'Bid Data'!$J:$J,$C34,'Bid Data'!$G:$G,"Yes")=0,"",SUMIFS('Bid Data'!$L:$L,'Bid Data'!$A:$A,D$5,'Bid Data'!$H:$H,$A34,'Bid Data'!$J:$J,$C34,'Bid Data'!$G:$G,"Yes"))</f>
        <v/>
      </c>
      <c r="E34" s="14">
        <f>IF(COUNTIFS('Bid Data'!$A:$A,D$5,'Bid Data'!$H:$H,$A34,'Bid Data'!$J:$J,$C34,'Bid Data'!$G:$G,"Yes")=0,"",SUMIFS('Bid Data'!$K:$K,'Bid Data'!$A:$A,D$5,'Bid Data'!$H:$H,$A34,'Bid Data'!$J:$J,$C34,'Bid Data'!$G:$G,"Yes"))</f>
        <v/>
      </c>
      <c r="F34" s="13">
        <f>IF(COUNTIFS('Bid Data'!$A:$A,F$5,'Bid Data'!$H:$H,$A34,'Bid Data'!$J:$J,$C34,'Bid Data'!$G:$G,"Yes")=0,"",SUMIFS('Bid Data'!$L:$L,'Bid Data'!$A:$A,F$5,'Bid Data'!$H:$H,$A34,'Bid Data'!$J:$J,$C34,'Bid Data'!$G:$G,"Yes"))</f>
        <v/>
      </c>
      <c r="G34" s="14">
        <f>IF(COUNTIFS('Bid Data'!$A:$A,F$5,'Bid Data'!$H:$H,$A34,'Bid Data'!$J:$J,$C34,'Bid Data'!$G:$G,"Yes")=0,"",SUMIFS('Bid Data'!$K:$K,'Bid Data'!$A:$A,F$5,'Bid Data'!$H:$H,$A34,'Bid Data'!$J:$J,$C34,'Bid Data'!$G:$G,"Yes"))</f>
        <v/>
      </c>
      <c r="I34" s="13">
        <f>IFERROR(AVERAGEIFS('Bid Data'!$L:$L,'Bid Data'!$H:$H,$A34,'Bid Data'!$J:$J,$C34,'Bid Data'!$G:$G,"Yes",'Bid Data'!$D:$D,"&gt;="&amp;(TODAY()-91)),"")</f>
        <v/>
      </c>
      <c r="J34" s="13">
        <f>IFERROR(AVERAGEIFS('Bid Data'!$L:$L,'Bid Data'!$H:$H,$A34,'Bid Data'!$J:$J,$C34,'Bid Data'!$G:$G,"Yes",'Bid Data'!$D:$D,"&gt;="&amp;(TODAY()-183)),"")</f>
        <v/>
      </c>
      <c r="K34" s="13">
        <f>IFERROR(AVERAGEIFS('Bid Data'!$L:$L,'Bid Data'!$H:$H,$A34,'Bid Data'!$J:$J,$C34,'Bid Data'!$G:$G,"Yes",'Bid Data'!$D:$D,"&gt;="&amp;(TODAY()-365)),"")</f>
        <v/>
      </c>
      <c r="L34" s="13">
        <f>IFERROR(AVERAGEIFS('Bid Data'!$L:$L,'Bid Data'!$H:$H,$A34,'Bid Data'!$J:$J,$C34,'Bid Data'!$G:$G,"Yes"),"")</f>
        <v/>
      </c>
      <c r="M34" s="11">
        <f>COUNTIFS('Bid Data'!$H:$H,$A34,'Bid Data'!$J:$J,$C34,'Bid Data'!$G:$G,"Yes")</f>
        <v/>
      </c>
    </row>
    <row r="35">
      <c r="A35" s="11" t="inlineStr">
        <is>
          <t>L-109-7.2</t>
        </is>
      </c>
      <c r="B35" s="12" t="inlineStr">
        <is>
          <t>FURNISH AND INSTALL 2.0KW, 6.6 AMP, THREE-STEP CONSTANT CURRENT REGULATOR WITH OUTPUT VOLTMETER AND AMMETER, PAPI-2</t>
        </is>
      </c>
      <c r="C35" s="11" t="inlineStr">
        <is>
          <t>EA</t>
        </is>
      </c>
      <c r="D35" s="13">
        <f>IF(COUNTIFS('Bid Data'!$A:$A,D$5,'Bid Data'!$H:$H,$A35,'Bid Data'!$J:$J,$C35,'Bid Data'!$G:$G,"Yes")=0,"",SUMIFS('Bid Data'!$L:$L,'Bid Data'!$A:$A,D$5,'Bid Data'!$H:$H,$A35,'Bid Data'!$J:$J,$C35,'Bid Data'!$G:$G,"Yes"))</f>
        <v/>
      </c>
      <c r="E35" s="14">
        <f>IF(COUNTIFS('Bid Data'!$A:$A,D$5,'Bid Data'!$H:$H,$A35,'Bid Data'!$J:$J,$C35,'Bid Data'!$G:$G,"Yes")=0,"",SUMIFS('Bid Data'!$K:$K,'Bid Data'!$A:$A,D$5,'Bid Data'!$H:$H,$A35,'Bid Data'!$J:$J,$C35,'Bid Data'!$G:$G,"Yes"))</f>
        <v/>
      </c>
      <c r="F35" s="13">
        <f>IF(COUNTIFS('Bid Data'!$A:$A,F$5,'Bid Data'!$H:$H,$A35,'Bid Data'!$J:$J,$C35,'Bid Data'!$G:$G,"Yes")=0,"",SUMIFS('Bid Data'!$L:$L,'Bid Data'!$A:$A,F$5,'Bid Data'!$H:$H,$A35,'Bid Data'!$J:$J,$C35,'Bid Data'!$G:$G,"Yes"))</f>
        <v/>
      </c>
      <c r="G35" s="14">
        <f>IF(COUNTIFS('Bid Data'!$A:$A,F$5,'Bid Data'!$H:$H,$A35,'Bid Data'!$J:$J,$C35,'Bid Data'!$G:$G,"Yes")=0,"",SUMIFS('Bid Data'!$K:$K,'Bid Data'!$A:$A,F$5,'Bid Data'!$H:$H,$A35,'Bid Data'!$J:$J,$C35,'Bid Data'!$G:$G,"Yes"))</f>
        <v/>
      </c>
      <c r="I35" s="13">
        <f>IFERROR(AVERAGEIFS('Bid Data'!$L:$L,'Bid Data'!$H:$H,$A35,'Bid Data'!$J:$J,$C35,'Bid Data'!$G:$G,"Yes",'Bid Data'!$D:$D,"&gt;="&amp;(TODAY()-91)),"")</f>
        <v/>
      </c>
      <c r="J35" s="13">
        <f>IFERROR(AVERAGEIFS('Bid Data'!$L:$L,'Bid Data'!$H:$H,$A35,'Bid Data'!$J:$J,$C35,'Bid Data'!$G:$G,"Yes",'Bid Data'!$D:$D,"&gt;="&amp;(TODAY()-183)),"")</f>
        <v/>
      </c>
      <c r="K35" s="13">
        <f>IFERROR(AVERAGEIFS('Bid Data'!$L:$L,'Bid Data'!$H:$H,$A35,'Bid Data'!$J:$J,$C35,'Bid Data'!$G:$G,"Yes",'Bid Data'!$D:$D,"&gt;="&amp;(TODAY()-365)),"")</f>
        <v/>
      </c>
      <c r="L35" s="13">
        <f>IFERROR(AVERAGEIFS('Bid Data'!$L:$L,'Bid Data'!$H:$H,$A35,'Bid Data'!$J:$J,$C35,'Bid Data'!$G:$G,"Yes"),"")</f>
        <v/>
      </c>
      <c r="M35" s="11">
        <f>COUNTIFS('Bid Data'!$H:$H,$A35,'Bid Data'!$J:$J,$C35,'Bid Data'!$G:$G,"Yes")</f>
        <v/>
      </c>
    </row>
    <row r="36">
      <c r="A36" s="11" t="inlineStr">
        <is>
          <t>L-109-7.3</t>
        </is>
      </c>
      <c r="B36" s="12" t="inlineStr">
        <is>
          <t>FURNISH AND INSTALL NEW L-854 RADIO CONTROLLER AND EXTERNAL ANTENNA MOUNTED ON VAULT</t>
        </is>
      </c>
      <c r="C36" s="11" t="inlineStr">
        <is>
          <t>EA</t>
        </is>
      </c>
      <c r="D36" s="13">
        <f>IF(COUNTIFS('Bid Data'!$A:$A,D$5,'Bid Data'!$H:$H,$A36,'Bid Data'!$J:$J,$C36,'Bid Data'!$G:$G,"Yes")=0,"",SUMIFS('Bid Data'!$L:$L,'Bid Data'!$A:$A,D$5,'Bid Data'!$H:$H,$A36,'Bid Data'!$J:$J,$C36,'Bid Data'!$G:$G,"Yes"))</f>
        <v/>
      </c>
      <c r="E36" s="14">
        <f>IF(COUNTIFS('Bid Data'!$A:$A,D$5,'Bid Data'!$H:$H,$A36,'Bid Data'!$J:$J,$C36,'Bid Data'!$G:$G,"Yes")=0,"",SUMIFS('Bid Data'!$K:$K,'Bid Data'!$A:$A,D$5,'Bid Data'!$H:$H,$A36,'Bid Data'!$J:$J,$C36,'Bid Data'!$G:$G,"Yes"))</f>
        <v/>
      </c>
      <c r="F36" s="13">
        <f>IF(COUNTIFS('Bid Data'!$A:$A,F$5,'Bid Data'!$H:$H,$A36,'Bid Data'!$J:$J,$C36,'Bid Data'!$G:$G,"Yes")=0,"",SUMIFS('Bid Data'!$L:$L,'Bid Data'!$A:$A,F$5,'Bid Data'!$H:$H,$A36,'Bid Data'!$J:$J,$C36,'Bid Data'!$G:$G,"Yes"))</f>
        <v/>
      </c>
      <c r="G36" s="14">
        <f>IF(COUNTIFS('Bid Data'!$A:$A,F$5,'Bid Data'!$H:$H,$A36,'Bid Data'!$J:$J,$C36,'Bid Data'!$G:$G,"Yes")=0,"",SUMIFS('Bid Data'!$K:$K,'Bid Data'!$A:$A,F$5,'Bid Data'!$H:$H,$A36,'Bid Data'!$J:$J,$C36,'Bid Data'!$G:$G,"Yes"))</f>
        <v/>
      </c>
      <c r="I36" s="13">
        <f>IFERROR(AVERAGEIFS('Bid Data'!$L:$L,'Bid Data'!$H:$H,$A36,'Bid Data'!$J:$J,$C36,'Bid Data'!$G:$G,"Yes",'Bid Data'!$D:$D,"&gt;="&amp;(TODAY()-91)),"")</f>
        <v/>
      </c>
      <c r="J36" s="13">
        <f>IFERROR(AVERAGEIFS('Bid Data'!$L:$L,'Bid Data'!$H:$H,$A36,'Bid Data'!$J:$J,$C36,'Bid Data'!$G:$G,"Yes",'Bid Data'!$D:$D,"&gt;="&amp;(TODAY()-183)),"")</f>
        <v/>
      </c>
      <c r="K36" s="13">
        <f>IFERROR(AVERAGEIFS('Bid Data'!$L:$L,'Bid Data'!$H:$H,$A36,'Bid Data'!$J:$J,$C36,'Bid Data'!$G:$G,"Yes",'Bid Data'!$D:$D,"&gt;="&amp;(TODAY()-365)),"")</f>
        <v/>
      </c>
      <c r="L36" s="13">
        <f>IFERROR(AVERAGEIFS('Bid Data'!$L:$L,'Bid Data'!$H:$H,$A36,'Bid Data'!$J:$J,$C36,'Bid Data'!$G:$G,"Yes"),"")</f>
        <v/>
      </c>
      <c r="M36" s="11">
        <f>COUNTIFS('Bid Data'!$H:$H,$A36,'Bid Data'!$J:$J,$C36,'Bid Data'!$G:$G,"Yes")</f>
        <v/>
      </c>
    </row>
    <row r="37">
      <c r="A37" s="11" t="inlineStr">
        <is>
          <t>L-109-7.4</t>
        </is>
      </c>
      <c r="B37" s="12" t="inlineStr">
        <is>
          <t>CONSTRUCTION OF 10- X 12-FOOT PREFABRICATED CONCRETE BUILDING AND FOUNDATION IN PLACE</t>
        </is>
      </c>
      <c r="C37" s="11" t="inlineStr">
        <is>
          <t>LS</t>
        </is>
      </c>
      <c r="D37" s="13">
        <f>IF(COUNTIFS('Bid Data'!$A:$A,D$5,'Bid Data'!$H:$H,$A37,'Bid Data'!$J:$J,$C37,'Bid Data'!$G:$G,"Yes")=0,"",SUMIFS('Bid Data'!$L:$L,'Bid Data'!$A:$A,D$5,'Bid Data'!$H:$H,$A37,'Bid Data'!$J:$J,$C37,'Bid Data'!$G:$G,"Yes"))</f>
        <v/>
      </c>
      <c r="E37" s="14">
        <f>IF(COUNTIFS('Bid Data'!$A:$A,D$5,'Bid Data'!$H:$H,$A37,'Bid Data'!$J:$J,$C37,'Bid Data'!$G:$G,"Yes")=0,"",SUMIFS('Bid Data'!$K:$K,'Bid Data'!$A:$A,D$5,'Bid Data'!$H:$H,$A37,'Bid Data'!$J:$J,$C37,'Bid Data'!$G:$G,"Yes"))</f>
        <v/>
      </c>
      <c r="F37" s="13">
        <f>IF(COUNTIFS('Bid Data'!$A:$A,F$5,'Bid Data'!$H:$H,$A37,'Bid Data'!$J:$J,$C37,'Bid Data'!$G:$G,"Yes")=0,"",SUMIFS('Bid Data'!$L:$L,'Bid Data'!$A:$A,F$5,'Bid Data'!$H:$H,$A37,'Bid Data'!$J:$J,$C37,'Bid Data'!$G:$G,"Yes"))</f>
        <v/>
      </c>
      <c r="G37" s="14">
        <f>IF(COUNTIFS('Bid Data'!$A:$A,F$5,'Bid Data'!$H:$H,$A37,'Bid Data'!$J:$J,$C37,'Bid Data'!$G:$G,"Yes")=0,"",SUMIFS('Bid Data'!$K:$K,'Bid Data'!$A:$A,F$5,'Bid Data'!$H:$H,$A37,'Bid Data'!$J:$J,$C37,'Bid Data'!$G:$G,"Yes"))</f>
        <v/>
      </c>
      <c r="I37" s="13">
        <f>IFERROR(AVERAGEIFS('Bid Data'!$L:$L,'Bid Data'!$H:$H,$A37,'Bid Data'!$J:$J,$C37,'Bid Data'!$G:$G,"Yes",'Bid Data'!$D:$D,"&gt;="&amp;(TODAY()-91)),"")</f>
        <v/>
      </c>
      <c r="J37" s="13">
        <f>IFERROR(AVERAGEIFS('Bid Data'!$L:$L,'Bid Data'!$H:$H,$A37,'Bid Data'!$J:$J,$C37,'Bid Data'!$G:$G,"Yes",'Bid Data'!$D:$D,"&gt;="&amp;(TODAY()-183)),"")</f>
        <v/>
      </c>
      <c r="K37" s="13">
        <f>IFERROR(AVERAGEIFS('Bid Data'!$L:$L,'Bid Data'!$H:$H,$A37,'Bid Data'!$J:$J,$C37,'Bid Data'!$G:$G,"Yes",'Bid Data'!$D:$D,"&gt;="&amp;(TODAY()-365)),"")</f>
        <v/>
      </c>
      <c r="L37" s="13">
        <f>IFERROR(AVERAGEIFS('Bid Data'!$L:$L,'Bid Data'!$H:$H,$A37,'Bid Data'!$J:$J,$C37,'Bid Data'!$G:$G,"Yes"),"")</f>
        <v/>
      </c>
      <c r="M37" s="11">
        <f>COUNTIFS('Bid Data'!$H:$H,$A37,'Bid Data'!$J:$J,$C37,'Bid Data'!$G:$G,"Yes")</f>
        <v/>
      </c>
    </row>
    <row r="38">
      <c r="A38" s="11" t="inlineStr">
        <is>
          <t>L-109-PLANS</t>
        </is>
      </c>
      <c r="B38" s="12" t="inlineStr">
        <is>
          <t>FURNISH AND INSTALL NEW PHOTOELECTRIC CONTROLLER</t>
        </is>
      </c>
      <c r="C38" s="11" t="inlineStr">
        <is>
          <t>EA</t>
        </is>
      </c>
      <c r="D38" s="13">
        <f>IF(COUNTIFS('Bid Data'!$A:$A,D$5,'Bid Data'!$H:$H,$A38,'Bid Data'!$J:$J,$C38,'Bid Data'!$G:$G,"Yes")=0,"",SUMIFS('Bid Data'!$L:$L,'Bid Data'!$A:$A,D$5,'Bid Data'!$H:$H,$A38,'Bid Data'!$J:$J,$C38,'Bid Data'!$G:$G,"Yes"))</f>
        <v/>
      </c>
      <c r="E38" s="14">
        <f>IF(COUNTIFS('Bid Data'!$A:$A,D$5,'Bid Data'!$H:$H,$A38,'Bid Data'!$J:$J,$C38,'Bid Data'!$G:$G,"Yes")=0,"",SUMIFS('Bid Data'!$K:$K,'Bid Data'!$A:$A,D$5,'Bid Data'!$H:$H,$A38,'Bid Data'!$J:$J,$C38,'Bid Data'!$G:$G,"Yes"))</f>
        <v/>
      </c>
      <c r="F38" s="13">
        <f>IF(COUNTIFS('Bid Data'!$A:$A,F$5,'Bid Data'!$H:$H,$A38,'Bid Data'!$J:$J,$C38,'Bid Data'!$G:$G,"Yes")=0,"",SUMIFS('Bid Data'!$L:$L,'Bid Data'!$A:$A,F$5,'Bid Data'!$H:$H,$A38,'Bid Data'!$J:$J,$C38,'Bid Data'!$G:$G,"Yes"))</f>
        <v/>
      </c>
      <c r="G38" s="14">
        <f>IF(COUNTIFS('Bid Data'!$A:$A,F$5,'Bid Data'!$H:$H,$A38,'Bid Data'!$J:$J,$C38,'Bid Data'!$G:$G,"Yes")=0,"",SUMIFS('Bid Data'!$K:$K,'Bid Data'!$A:$A,F$5,'Bid Data'!$H:$H,$A38,'Bid Data'!$J:$J,$C38,'Bid Data'!$G:$G,"Yes"))</f>
        <v/>
      </c>
      <c r="I38" s="13">
        <f>IFERROR(AVERAGEIFS('Bid Data'!$L:$L,'Bid Data'!$H:$H,$A38,'Bid Data'!$J:$J,$C38,'Bid Data'!$G:$G,"Yes",'Bid Data'!$D:$D,"&gt;="&amp;(TODAY()-91)),"")</f>
        <v/>
      </c>
      <c r="J38" s="13">
        <f>IFERROR(AVERAGEIFS('Bid Data'!$L:$L,'Bid Data'!$H:$H,$A38,'Bid Data'!$J:$J,$C38,'Bid Data'!$G:$G,"Yes",'Bid Data'!$D:$D,"&gt;="&amp;(TODAY()-183)),"")</f>
        <v/>
      </c>
      <c r="K38" s="13">
        <f>IFERROR(AVERAGEIFS('Bid Data'!$L:$L,'Bid Data'!$H:$H,$A38,'Bid Data'!$J:$J,$C38,'Bid Data'!$G:$G,"Yes",'Bid Data'!$D:$D,"&gt;="&amp;(TODAY()-365)),"")</f>
        <v/>
      </c>
      <c r="L38" s="13">
        <f>IFERROR(AVERAGEIFS('Bid Data'!$L:$L,'Bid Data'!$H:$H,$A38,'Bid Data'!$J:$J,$C38,'Bid Data'!$G:$G,"Yes"),"")</f>
        <v/>
      </c>
      <c r="M38" s="11">
        <f>COUNTIFS('Bid Data'!$H:$H,$A38,'Bid Data'!$J:$J,$C38,'Bid Data'!$G:$G,"Yes")</f>
        <v/>
      </c>
    </row>
    <row r="39">
      <c r="A39" s="11" t="inlineStr">
        <is>
          <t>L-110-5.1</t>
        </is>
      </c>
      <c r="B39" s="12" t="inlineStr">
        <is>
          <t>INSTALL NON-ENCASED ELECTRICAL CONDUIT, 2-INCH SCH 40 PVC, IN TRENCH</t>
        </is>
      </c>
      <c r="C39" s="11" t="inlineStr">
        <is>
          <t>LF</t>
        </is>
      </c>
      <c r="D39" s="13">
        <f>IF(COUNTIFS('Bid Data'!$A:$A,D$5,'Bid Data'!$H:$H,$A39,'Bid Data'!$J:$J,$C39,'Bid Data'!$G:$G,"Yes")=0,"",SUMIFS('Bid Data'!$L:$L,'Bid Data'!$A:$A,D$5,'Bid Data'!$H:$H,$A39,'Bid Data'!$J:$J,$C39,'Bid Data'!$G:$G,"Yes"))</f>
        <v/>
      </c>
      <c r="E39" s="14">
        <f>IF(COUNTIFS('Bid Data'!$A:$A,D$5,'Bid Data'!$H:$H,$A39,'Bid Data'!$J:$J,$C39,'Bid Data'!$G:$G,"Yes")=0,"",SUMIFS('Bid Data'!$K:$K,'Bid Data'!$A:$A,D$5,'Bid Data'!$H:$H,$A39,'Bid Data'!$J:$J,$C39,'Bid Data'!$G:$G,"Yes"))</f>
        <v/>
      </c>
      <c r="F39" s="13">
        <f>IF(COUNTIFS('Bid Data'!$A:$A,F$5,'Bid Data'!$H:$H,$A39,'Bid Data'!$J:$J,$C39,'Bid Data'!$G:$G,"Yes")=0,"",SUMIFS('Bid Data'!$L:$L,'Bid Data'!$A:$A,F$5,'Bid Data'!$H:$H,$A39,'Bid Data'!$J:$J,$C39,'Bid Data'!$G:$G,"Yes"))</f>
        <v/>
      </c>
      <c r="G39" s="14">
        <f>IF(COUNTIFS('Bid Data'!$A:$A,F$5,'Bid Data'!$H:$H,$A39,'Bid Data'!$J:$J,$C39,'Bid Data'!$G:$G,"Yes")=0,"",SUMIFS('Bid Data'!$K:$K,'Bid Data'!$A:$A,F$5,'Bid Data'!$H:$H,$A39,'Bid Data'!$J:$J,$C39,'Bid Data'!$G:$G,"Yes"))</f>
        <v/>
      </c>
      <c r="I39" s="13">
        <f>IFERROR(AVERAGEIFS('Bid Data'!$L:$L,'Bid Data'!$H:$H,$A39,'Bid Data'!$J:$J,$C39,'Bid Data'!$G:$G,"Yes",'Bid Data'!$D:$D,"&gt;="&amp;(TODAY()-91)),"")</f>
        <v/>
      </c>
      <c r="J39" s="13">
        <f>IFERROR(AVERAGEIFS('Bid Data'!$L:$L,'Bid Data'!$H:$H,$A39,'Bid Data'!$J:$J,$C39,'Bid Data'!$G:$G,"Yes",'Bid Data'!$D:$D,"&gt;="&amp;(TODAY()-183)),"")</f>
        <v/>
      </c>
      <c r="K39" s="13">
        <f>IFERROR(AVERAGEIFS('Bid Data'!$L:$L,'Bid Data'!$H:$H,$A39,'Bid Data'!$J:$J,$C39,'Bid Data'!$G:$G,"Yes",'Bid Data'!$D:$D,"&gt;="&amp;(TODAY()-365)),"")</f>
        <v/>
      </c>
      <c r="L39" s="13">
        <f>IFERROR(AVERAGEIFS('Bid Data'!$L:$L,'Bid Data'!$H:$H,$A39,'Bid Data'!$J:$J,$C39,'Bid Data'!$G:$G,"Yes"),"")</f>
        <v/>
      </c>
      <c r="M39" s="11">
        <f>COUNTIFS('Bid Data'!$H:$H,$A39,'Bid Data'!$J:$J,$C39,'Bid Data'!$G:$G,"Yes")</f>
        <v/>
      </c>
    </row>
    <row r="40">
      <c r="A40" s="11" t="inlineStr">
        <is>
          <t>L-110-5.2</t>
        </is>
      </c>
      <c r="B40" s="12" t="inlineStr">
        <is>
          <t>CONCRETE-ENCASED ELECTRICAL CONDUIT DUCT BANK, NEW TWO 2-INCH SCH 40, PVC, IN TRENCH</t>
        </is>
      </c>
      <c r="C40" s="11" t="inlineStr">
        <is>
          <t>LF</t>
        </is>
      </c>
      <c r="D40" s="13">
        <f>IF(COUNTIFS('Bid Data'!$A:$A,D$5,'Bid Data'!$H:$H,$A40,'Bid Data'!$J:$J,$C40,'Bid Data'!$G:$G,"Yes")=0,"",SUMIFS('Bid Data'!$L:$L,'Bid Data'!$A:$A,D$5,'Bid Data'!$H:$H,$A40,'Bid Data'!$J:$J,$C40,'Bid Data'!$G:$G,"Yes"))</f>
        <v/>
      </c>
      <c r="E40" s="14">
        <f>IF(COUNTIFS('Bid Data'!$A:$A,D$5,'Bid Data'!$H:$H,$A40,'Bid Data'!$J:$J,$C40,'Bid Data'!$G:$G,"Yes")=0,"",SUMIFS('Bid Data'!$K:$K,'Bid Data'!$A:$A,D$5,'Bid Data'!$H:$H,$A40,'Bid Data'!$J:$J,$C40,'Bid Data'!$G:$G,"Yes"))</f>
        <v/>
      </c>
      <c r="F40" s="13">
        <f>IF(COUNTIFS('Bid Data'!$A:$A,F$5,'Bid Data'!$H:$H,$A40,'Bid Data'!$J:$J,$C40,'Bid Data'!$G:$G,"Yes")=0,"",SUMIFS('Bid Data'!$L:$L,'Bid Data'!$A:$A,F$5,'Bid Data'!$H:$H,$A40,'Bid Data'!$J:$J,$C40,'Bid Data'!$G:$G,"Yes"))</f>
        <v/>
      </c>
      <c r="G40" s="14">
        <f>IF(COUNTIFS('Bid Data'!$A:$A,F$5,'Bid Data'!$H:$H,$A40,'Bid Data'!$J:$J,$C40,'Bid Data'!$G:$G,"Yes")=0,"",SUMIFS('Bid Data'!$K:$K,'Bid Data'!$A:$A,F$5,'Bid Data'!$H:$H,$A40,'Bid Data'!$J:$J,$C40,'Bid Data'!$G:$G,"Yes"))</f>
        <v/>
      </c>
      <c r="I40" s="13">
        <f>IFERROR(AVERAGEIFS('Bid Data'!$L:$L,'Bid Data'!$H:$H,$A40,'Bid Data'!$J:$J,$C40,'Bid Data'!$G:$G,"Yes",'Bid Data'!$D:$D,"&gt;="&amp;(TODAY()-91)),"")</f>
        <v/>
      </c>
      <c r="J40" s="13">
        <f>IFERROR(AVERAGEIFS('Bid Data'!$L:$L,'Bid Data'!$H:$H,$A40,'Bid Data'!$J:$J,$C40,'Bid Data'!$G:$G,"Yes",'Bid Data'!$D:$D,"&gt;="&amp;(TODAY()-183)),"")</f>
        <v/>
      </c>
      <c r="K40" s="13">
        <f>IFERROR(AVERAGEIFS('Bid Data'!$L:$L,'Bid Data'!$H:$H,$A40,'Bid Data'!$J:$J,$C40,'Bid Data'!$G:$G,"Yes",'Bid Data'!$D:$D,"&gt;="&amp;(TODAY()-365)),"")</f>
        <v/>
      </c>
      <c r="L40" s="13">
        <f>IFERROR(AVERAGEIFS('Bid Data'!$L:$L,'Bid Data'!$H:$H,$A40,'Bid Data'!$J:$J,$C40,'Bid Data'!$G:$G,"Yes"),"")</f>
        <v/>
      </c>
      <c r="M40" s="11">
        <f>COUNTIFS('Bid Data'!$H:$H,$A40,'Bid Data'!$J:$J,$C40,'Bid Data'!$G:$G,"Yes")</f>
        <v/>
      </c>
    </row>
    <row r="41">
      <c r="A41" s="11" t="inlineStr">
        <is>
          <t>L-115.1</t>
        </is>
      </c>
      <c r="B41" s="12" t="inlineStr">
        <is>
          <t>ELECTRICAL HANDHOLE, 12X24 INCHES, L-867B, WITH CONCRETE ENCASEMENT</t>
        </is>
      </c>
      <c r="C41" s="11" t="inlineStr">
        <is>
          <t>EA</t>
        </is>
      </c>
      <c r="D41" s="13">
        <f>IF(COUNTIFS('Bid Data'!$A:$A,D$5,'Bid Data'!$H:$H,$A41,'Bid Data'!$J:$J,$C41,'Bid Data'!$G:$G,"Yes")=0,"",SUMIFS('Bid Data'!$L:$L,'Bid Data'!$A:$A,D$5,'Bid Data'!$H:$H,$A41,'Bid Data'!$J:$J,$C41,'Bid Data'!$G:$G,"Yes"))</f>
        <v/>
      </c>
      <c r="E41" s="14">
        <f>IF(COUNTIFS('Bid Data'!$A:$A,D$5,'Bid Data'!$H:$H,$A41,'Bid Data'!$J:$J,$C41,'Bid Data'!$G:$G,"Yes")=0,"",SUMIFS('Bid Data'!$K:$K,'Bid Data'!$A:$A,D$5,'Bid Data'!$H:$H,$A41,'Bid Data'!$J:$J,$C41,'Bid Data'!$G:$G,"Yes"))</f>
        <v/>
      </c>
      <c r="F41" s="13">
        <f>IF(COUNTIFS('Bid Data'!$A:$A,F$5,'Bid Data'!$H:$H,$A41,'Bid Data'!$J:$J,$C41,'Bid Data'!$G:$G,"Yes")=0,"",SUMIFS('Bid Data'!$L:$L,'Bid Data'!$A:$A,F$5,'Bid Data'!$H:$H,$A41,'Bid Data'!$J:$J,$C41,'Bid Data'!$G:$G,"Yes"))</f>
        <v/>
      </c>
      <c r="G41" s="14">
        <f>IF(COUNTIFS('Bid Data'!$A:$A,F$5,'Bid Data'!$H:$H,$A41,'Bid Data'!$J:$J,$C41,'Bid Data'!$G:$G,"Yes")=0,"",SUMIFS('Bid Data'!$K:$K,'Bid Data'!$A:$A,F$5,'Bid Data'!$H:$H,$A41,'Bid Data'!$J:$J,$C41,'Bid Data'!$G:$G,"Yes"))</f>
        <v/>
      </c>
      <c r="I41" s="13">
        <f>IFERROR(AVERAGEIFS('Bid Data'!$L:$L,'Bid Data'!$H:$H,$A41,'Bid Data'!$J:$J,$C41,'Bid Data'!$G:$G,"Yes",'Bid Data'!$D:$D,"&gt;="&amp;(TODAY()-91)),"")</f>
        <v/>
      </c>
      <c r="J41" s="13">
        <f>IFERROR(AVERAGEIFS('Bid Data'!$L:$L,'Bid Data'!$H:$H,$A41,'Bid Data'!$J:$J,$C41,'Bid Data'!$G:$G,"Yes",'Bid Data'!$D:$D,"&gt;="&amp;(TODAY()-183)),"")</f>
        <v/>
      </c>
      <c r="K41" s="13">
        <f>IFERROR(AVERAGEIFS('Bid Data'!$L:$L,'Bid Data'!$H:$H,$A41,'Bid Data'!$J:$J,$C41,'Bid Data'!$G:$G,"Yes",'Bid Data'!$D:$D,"&gt;="&amp;(TODAY()-365)),"")</f>
        <v/>
      </c>
      <c r="L41" s="13">
        <f>IFERROR(AVERAGEIFS('Bid Data'!$L:$L,'Bid Data'!$H:$H,$A41,'Bid Data'!$J:$J,$C41,'Bid Data'!$G:$G,"Yes"),"")</f>
        <v/>
      </c>
      <c r="M41" s="11">
        <f>COUNTIFS('Bid Data'!$H:$H,$A41,'Bid Data'!$J:$J,$C41,'Bid Data'!$G:$G,"Yes")</f>
        <v/>
      </c>
    </row>
    <row r="42">
      <c r="A42" s="11" t="inlineStr">
        <is>
          <t>L-115.2</t>
        </is>
      </c>
      <c r="B42" s="12" t="inlineStr">
        <is>
          <t>HEAVY-DUTY ELECTRICAL BOX WITH LID, 17X30X24 INCHES, AT VAULT BUILDING</t>
        </is>
      </c>
      <c r="C42" s="11" t="inlineStr">
        <is>
          <t>EA</t>
        </is>
      </c>
      <c r="D42" s="13">
        <f>IF(COUNTIFS('Bid Data'!$A:$A,D$5,'Bid Data'!$H:$H,$A42,'Bid Data'!$J:$J,$C42,'Bid Data'!$G:$G,"Yes")=0,"",SUMIFS('Bid Data'!$L:$L,'Bid Data'!$A:$A,D$5,'Bid Data'!$H:$H,$A42,'Bid Data'!$J:$J,$C42,'Bid Data'!$G:$G,"Yes"))</f>
        <v/>
      </c>
      <c r="E42" s="14">
        <f>IF(COUNTIFS('Bid Data'!$A:$A,D$5,'Bid Data'!$H:$H,$A42,'Bid Data'!$J:$J,$C42,'Bid Data'!$G:$G,"Yes")=0,"",SUMIFS('Bid Data'!$K:$K,'Bid Data'!$A:$A,D$5,'Bid Data'!$H:$H,$A42,'Bid Data'!$J:$J,$C42,'Bid Data'!$G:$G,"Yes"))</f>
        <v/>
      </c>
      <c r="F42" s="13">
        <f>IF(COUNTIFS('Bid Data'!$A:$A,F$5,'Bid Data'!$H:$H,$A42,'Bid Data'!$J:$J,$C42,'Bid Data'!$G:$G,"Yes")=0,"",SUMIFS('Bid Data'!$L:$L,'Bid Data'!$A:$A,F$5,'Bid Data'!$H:$H,$A42,'Bid Data'!$J:$J,$C42,'Bid Data'!$G:$G,"Yes"))</f>
        <v/>
      </c>
      <c r="G42" s="14">
        <f>IF(COUNTIFS('Bid Data'!$A:$A,F$5,'Bid Data'!$H:$H,$A42,'Bid Data'!$J:$J,$C42,'Bid Data'!$G:$G,"Yes")=0,"",SUMIFS('Bid Data'!$K:$K,'Bid Data'!$A:$A,F$5,'Bid Data'!$H:$H,$A42,'Bid Data'!$J:$J,$C42,'Bid Data'!$G:$G,"Yes"))</f>
        <v/>
      </c>
      <c r="I42" s="13">
        <f>IFERROR(AVERAGEIFS('Bid Data'!$L:$L,'Bid Data'!$H:$H,$A42,'Bid Data'!$J:$J,$C42,'Bid Data'!$G:$G,"Yes",'Bid Data'!$D:$D,"&gt;="&amp;(TODAY()-91)),"")</f>
        <v/>
      </c>
      <c r="J42" s="13">
        <f>IFERROR(AVERAGEIFS('Bid Data'!$L:$L,'Bid Data'!$H:$H,$A42,'Bid Data'!$J:$J,$C42,'Bid Data'!$G:$G,"Yes",'Bid Data'!$D:$D,"&gt;="&amp;(TODAY()-183)),"")</f>
        <v/>
      </c>
      <c r="K42" s="13">
        <f>IFERROR(AVERAGEIFS('Bid Data'!$L:$L,'Bid Data'!$H:$H,$A42,'Bid Data'!$J:$J,$C42,'Bid Data'!$G:$G,"Yes",'Bid Data'!$D:$D,"&gt;="&amp;(TODAY()-365)),"")</f>
        <v/>
      </c>
      <c r="L42" s="13">
        <f>IFERROR(AVERAGEIFS('Bid Data'!$L:$L,'Bid Data'!$H:$H,$A42,'Bid Data'!$J:$J,$C42,'Bid Data'!$G:$G,"Yes"),"")</f>
        <v/>
      </c>
      <c r="M42" s="11">
        <f>COUNTIFS('Bid Data'!$H:$H,$A42,'Bid Data'!$J:$J,$C42,'Bid Data'!$G:$G,"Yes")</f>
        <v/>
      </c>
    </row>
    <row r="43">
      <c r="A43" s="11" t="inlineStr">
        <is>
          <t>L-125</t>
        </is>
      </c>
      <c r="B43" s="12" t="inlineStr">
        <is>
          <t>INSTALL SOLAR POWERED OBSTRUCTION LIGHT, COMPLETE</t>
        </is>
      </c>
      <c r="C43" s="11" t="inlineStr">
        <is>
          <t>EA</t>
        </is>
      </c>
      <c r="D43" s="13">
        <f>IF(COUNTIFS('Bid Data'!$A:$A,D$5,'Bid Data'!$H:$H,$A43,'Bid Data'!$J:$J,$C43,'Bid Data'!$G:$G,"Yes")=0,"",SUMIFS('Bid Data'!$L:$L,'Bid Data'!$A:$A,D$5,'Bid Data'!$H:$H,$A43,'Bid Data'!$J:$J,$C43,'Bid Data'!$G:$G,"Yes"))</f>
        <v/>
      </c>
      <c r="E43" s="14">
        <f>IF(COUNTIFS('Bid Data'!$A:$A,D$5,'Bid Data'!$H:$H,$A43,'Bid Data'!$J:$J,$C43,'Bid Data'!$G:$G,"Yes")=0,"",SUMIFS('Bid Data'!$K:$K,'Bid Data'!$A:$A,D$5,'Bid Data'!$H:$H,$A43,'Bid Data'!$J:$J,$C43,'Bid Data'!$G:$G,"Yes"))</f>
        <v/>
      </c>
      <c r="F43" s="13">
        <f>IF(COUNTIFS('Bid Data'!$A:$A,F$5,'Bid Data'!$H:$H,$A43,'Bid Data'!$J:$J,$C43,'Bid Data'!$G:$G,"Yes")=0,"",SUMIFS('Bid Data'!$L:$L,'Bid Data'!$A:$A,F$5,'Bid Data'!$H:$H,$A43,'Bid Data'!$J:$J,$C43,'Bid Data'!$G:$G,"Yes"))</f>
        <v/>
      </c>
      <c r="G43" s="14">
        <f>IF(COUNTIFS('Bid Data'!$A:$A,F$5,'Bid Data'!$H:$H,$A43,'Bid Data'!$J:$J,$C43,'Bid Data'!$G:$G,"Yes")=0,"",SUMIFS('Bid Data'!$K:$K,'Bid Data'!$A:$A,F$5,'Bid Data'!$H:$H,$A43,'Bid Data'!$J:$J,$C43,'Bid Data'!$G:$G,"Yes"))</f>
        <v/>
      </c>
      <c r="I43" s="13">
        <f>IFERROR(AVERAGEIFS('Bid Data'!$L:$L,'Bid Data'!$H:$H,$A43,'Bid Data'!$J:$J,$C43,'Bid Data'!$G:$G,"Yes",'Bid Data'!$D:$D,"&gt;="&amp;(TODAY()-91)),"")</f>
        <v/>
      </c>
      <c r="J43" s="13">
        <f>IFERROR(AVERAGEIFS('Bid Data'!$L:$L,'Bid Data'!$H:$H,$A43,'Bid Data'!$J:$J,$C43,'Bid Data'!$G:$G,"Yes",'Bid Data'!$D:$D,"&gt;="&amp;(TODAY()-183)),"")</f>
        <v/>
      </c>
      <c r="K43" s="13">
        <f>IFERROR(AVERAGEIFS('Bid Data'!$L:$L,'Bid Data'!$H:$H,$A43,'Bid Data'!$J:$J,$C43,'Bid Data'!$G:$G,"Yes",'Bid Data'!$D:$D,"&gt;="&amp;(TODAY()-365)),"")</f>
        <v/>
      </c>
      <c r="L43" s="13">
        <f>IFERROR(AVERAGEIFS('Bid Data'!$L:$L,'Bid Data'!$H:$H,$A43,'Bid Data'!$J:$J,$C43,'Bid Data'!$G:$G,"Yes"),"")</f>
        <v/>
      </c>
      <c r="M43" s="11">
        <f>COUNTIFS('Bid Data'!$H:$H,$A43,'Bid Data'!$J:$J,$C43,'Bid Data'!$G:$G,"Yes")</f>
        <v/>
      </c>
    </row>
    <row r="44">
      <c r="A44" s="11" t="inlineStr">
        <is>
          <t>L-125-3</t>
        </is>
      </c>
      <c r="B44" s="12" t="inlineStr">
        <is>
          <t>REMOVE AND DISPOSE OFF SITE, EXISTING REILS UNITS ON RWY 12-30 END {INCLUDING ALL UNDERGROUND CONDUIT, WIRING CONNECTIONS, BOXES, AND CONCRETE FOUNDATION PADS)</t>
        </is>
      </c>
      <c r="C44" s="11" t="inlineStr">
        <is>
          <t>EA</t>
        </is>
      </c>
      <c r="D44" s="13">
        <f>IF(COUNTIFS('Bid Data'!$A:$A,D$5,'Bid Data'!$H:$H,$A44,'Bid Data'!$J:$J,$C44,'Bid Data'!$G:$G,"Yes")=0,"",SUMIFS('Bid Data'!$L:$L,'Bid Data'!$A:$A,D$5,'Bid Data'!$H:$H,$A44,'Bid Data'!$J:$J,$C44,'Bid Data'!$G:$G,"Yes"))</f>
        <v/>
      </c>
      <c r="E44" s="14">
        <f>IF(COUNTIFS('Bid Data'!$A:$A,D$5,'Bid Data'!$H:$H,$A44,'Bid Data'!$J:$J,$C44,'Bid Data'!$G:$G,"Yes")=0,"",SUMIFS('Bid Data'!$K:$K,'Bid Data'!$A:$A,D$5,'Bid Data'!$H:$H,$A44,'Bid Data'!$J:$J,$C44,'Bid Data'!$G:$G,"Yes"))</f>
        <v/>
      </c>
      <c r="F44" s="13">
        <f>IF(COUNTIFS('Bid Data'!$A:$A,F$5,'Bid Data'!$H:$H,$A44,'Bid Data'!$J:$J,$C44,'Bid Data'!$G:$G,"Yes")=0,"",SUMIFS('Bid Data'!$L:$L,'Bid Data'!$A:$A,F$5,'Bid Data'!$H:$H,$A44,'Bid Data'!$J:$J,$C44,'Bid Data'!$G:$G,"Yes"))</f>
        <v/>
      </c>
      <c r="G44" s="14">
        <f>IF(COUNTIFS('Bid Data'!$A:$A,F$5,'Bid Data'!$H:$H,$A44,'Bid Data'!$J:$J,$C44,'Bid Data'!$G:$G,"Yes")=0,"",SUMIFS('Bid Data'!$K:$K,'Bid Data'!$A:$A,F$5,'Bid Data'!$H:$H,$A44,'Bid Data'!$J:$J,$C44,'Bid Data'!$G:$G,"Yes"))</f>
        <v/>
      </c>
      <c r="I44" s="13">
        <f>IFERROR(AVERAGEIFS('Bid Data'!$L:$L,'Bid Data'!$H:$H,$A44,'Bid Data'!$J:$J,$C44,'Bid Data'!$G:$G,"Yes",'Bid Data'!$D:$D,"&gt;="&amp;(TODAY()-91)),"")</f>
        <v/>
      </c>
      <c r="J44" s="13">
        <f>IFERROR(AVERAGEIFS('Bid Data'!$L:$L,'Bid Data'!$H:$H,$A44,'Bid Data'!$J:$J,$C44,'Bid Data'!$G:$G,"Yes",'Bid Data'!$D:$D,"&gt;="&amp;(TODAY()-183)),"")</f>
        <v/>
      </c>
      <c r="K44" s="13">
        <f>IFERROR(AVERAGEIFS('Bid Data'!$L:$L,'Bid Data'!$H:$H,$A44,'Bid Data'!$J:$J,$C44,'Bid Data'!$G:$G,"Yes",'Bid Data'!$D:$D,"&gt;="&amp;(TODAY()-365)),"")</f>
        <v/>
      </c>
      <c r="L44" s="13">
        <f>IFERROR(AVERAGEIFS('Bid Data'!$L:$L,'Bid Data'!$H:$H,$A44,'Bid Data'!$J:$J,$C44,'Bid Data'!$G:$G,"Yes"),"")</f>
        <v/>
      </c>
      <c r="M44" s="11">
        <f>COUNTIFS('Bid Data'!$H:$H,$A44,'Bid Data'!$J:$J,$C44,'Bid Data'!$G:$G,"Yes")</f>
        <v/>
      </c>
    </row>
    <row r="45">
      <c r="A45" s="11" t="inlineStr">
        <is>
          <t>L-125-4</t>
        </is>
      </c>
      <c r="B45" s="12" t="inlineStr">
        <is>
          <t>L-861, INSTALL LED MEDIUM INTENSITY RUNWAY EDGE LIGHTS (WHITE/WHITE, 6-UNITS) AND (YELLOW/WHITE, 39-UNITS), BASE MOUNTED ON CONCRETE-ENCASED CAN</t>
        </is>
      </c>
      <c r="C45" s="11" t="inlineStr">
        <is>
          <t>EA</t>
        </is>
      </c>
      <c r="D45" s="13">
        <f>IF(COUNTIFS('Bid Data'!$A:$A,D$5,'Bid Data'!$H:$H,$A45,'Bid Data'!$J:$J,$C45,'Bid Data'!$G:$G,"Yes")=0,"",SUMIFS('Bid Data'!$L:$L,'Bid Data'!$A:$A,D$5,'Bid Data'!$H:$H,$A45,'Bid Data'!$J:$J,$C45,'Bid Data'!$G:$G,"Yes"))</f>
        <v/>
      </c>
      <c r="E45" s="14">
        <f>IF(COUNTIFS('Bid Data'!$A:$A,D$5,'Bid Data'!$H:$H,$A45,'Bid Data'!$J:$J,$C45,'Bid Data'!$G:$G,"Yes")=0,"",SUMIFS('Bid Data'!$K:$K,'Bid Data'!$A:$A,D$5,'Bid Data'!$H:$H,$A45,'Bid Data'!$J:$J,$C45,'Bid Data'!$G:$G,"Yes"))</f>
        <v/>
      </c>
      <c r="F45" s="13">
        <f>IF(COUNTIFS('Bid Data'!$A:$A,F$5,'Bid Data'!$H:$H,$A45,'Bid Data'!$J:$J,$C45,'Bid Data'!$G:$G,"Yes")=0,"",SUMIFS('Bid Data'!$L:$L,'Bid Data'!$A:$A,F$5,'Bid Data'!$H:$H,$A45,'Bid Data'!$J:$J,$C45,'Bid Data'!$G:$G,"Yes"))</f>
        <v/>
      </c>
      <c r="G45" s="14">
        <f>IF(COUNTIFS('Bid Data'!$A:$A,F$5,'Bid Data'!$H:$H,$A45,'Bid Data'!$J:$J,$C45,'Bid Data'!$G:$G,"Yes")=0,"",SUMIFS('Bid Data'!$K:$K,'Bid Data'!$A:$A,F$5,'Bid Data'!$H:$H,$A45,'Bid Data'!$J:$J,$C45,'Bid Data'!$G:$G,"Yes"))</f>
        <v/>
      </c>
      <c r="I45" s="13">
        <f>IFERROR(AVERAGEIFS('Bid Data'!$L:$L,'Bid Data'!$H:$H,$A45,'Bid Data'!$J:$J,$C45,'Bid Data'!$G:$G,"Yes",'Bid Data'!$D:$D,"&gt;="&amp;(TODAY()-91)),"")</f>
        <v/>
      </c>
      <c r="J45" s="13">
        <f>IFERROR(AVERAGEIFS('Bid Data'!$L:$L,'Bid Data'!$H:$H,$A45,'Bid Data'!$J:$J,$C45,'Bid Data'!$G:$G,"Yes",'Bid Data'!$D:$D,"&gt;="&amp;(TODAY()-183)),"")</f>
        <v/>
      </c>
      <c r="K45" s="13">
        <f>IFERROR(AVERAGEIFS('Bid Data'!$L:$L,'Bid Data'!$H:$H,$A45,'Bid Data'!$J:$J,$C45,'Bid Data'!$G:$G,"Yes",'Bid Data'!$D:$D,"&gt;="&amp;(TODAY()-365)),"")</f>
        <v/>
      </c>
      <c r="L45" s="13">
        <f>IFERROR(AVERAGEIFS('Bid Data'!$L:$L,'Bid Data'!$H:$H,$A45,'Bid Data'!$J:$J,$C45,'Bid Data'!$G:$G,"Yes"),"")</f>
        <v/>
      </c>
      <c r="M45" s="11">
        <f>COUNTIFS('Bid Data'!$H:$H,$A45,'Bid Data'!$J:$J,$C45,'Bid Data'!$G:$G,"Yes")</f>
        <v/>
      </c>
    </row>
    <row r="46">
      <c r="A46" s="11" t="inlineStr">
        <is>
          <t>L-125-5</t>
        </is>
      </c>
      <c r="B46" s="12" t="inlineStr">
        <is>
          <t>INSTALL LED MEDIUM INTENSITY RUNWAY THRESHOLD LIGHTS (RED/RED, 16- UNITS), (BLANK/GREEN, 12-UNITS), AND EDGE LIGHTS (YELLOW/GREEN, 4-UNITS) BASED MOUNTED ON CONCRETE-ENCASED CAN, AS SPECIFIED ON PLANS</t>
        </is>
      </c>
      <c r="C46" s="11" t="inlineStr">
        <is>
          <t>EA</t>
        </is>
      </c>
      <c r="D46" s="13">
        <f>IF(COUNTIFS('Bid Data'!$A:$A,D$5,'Bid Data'!$H:$H,$A46,'Bid Data'!$J:$J,$C46,'Bid Data'!$G:$G,"Yes")=0,"",SUMIFS('Bid Data'!$L:$L,'Bid Data'!$A:$A,D$5,'Bid Data'!$H:$H,$A46,'Bid Data'!$J:$J,$C46,'Bid Data'!$G:$G,"Yes"))</f>
        <v/>
      </c>
      <c r="E46" s="14">
        <f>IF(COUNTIFS('Bid Data'!$A:$A,D$5,'Bid Data'!$H:$H,$A46,'Bid Data'!$J:$J,$C46,'Bid Data'!$G:$G,"Yes")=0,"",SUMIFS('Bid Data'!$K:$K,'Bid Data'!$A:$A,D$5,'Bid Data'!$H:$H,$A46,'Bid Data'!$J:$J,$C46,'Bid Data'!$G:$G,"Yes"))</f>
        <v/>
      </c>
      <c r="F46" s="13">
        <f>IF(COUNTIFS('Bid Data'!$A:$A,F$5,'Bid Data'!$H:$H,$A46,'Bid Data'!$J:$J,$C46,'Bid Data'!$G:$G,"Yes")=0,"",SUMIFS('Bid Data'!$L:$L,'Bid Data'!$A:$A,F$5,'Bid Data'!$H:$H,$A46,'Bid Data'!$J:$J,$C46,'Bid Data'!$G:$G,"Yes"))</f>
        <v/>
      </c>
      <c r="G46" s="14">
        <f>IF(COUNTIFS('Bid Data'!$A:$A,F$5,'Bid Data'!$H:$H,$A46,'Bid Data'!$J:$J,$C46,'Bid Data'!$G:$G,"Yes")=0,"",SUMIFS('Bid Data'!$K:$K,'Bid Data'!$A:$A,F$5,'Bid Data'!$H:$H,$A46,'Bid Data'!$J:$J,$C46,'Bid Data'!$G:$G,"Yes"))</f>
        <v/>
      </c>
      <c r="I46" s="13">
        <f>IFERROR(AVERAGEIFS('Bid Data'!$L:$L,'Bid Data'!$H:$H,$A46,'Bid Data'!$J:$J,$C46,'Bid Data'!$G:$G,"Yes",'Bid Data'!$D:$D,"&gt;="&amp;(TODAY()-91)),"")</f>
        <v/>
      </c>
      <c r="J46" s="13">
        <f>IFERROR(AVERAGEIFS('Bid Data'!$L:$L,'Bid Data'!$H:$H,$A46,'Bid Data'!$J:$J,$C46,'Bid Data'!$G:$G,"Yes",'Bid Data'!$D:$D,"&gt;="&amp;(TODAY()-183)),"")</f>
        <v/>
      </c>
      <c r="K46" s="13">
        <f>IFERROR(AVERAGEIFS('Bid Data'!$L:$L,'Bid Data'!$H:$H,$A46,'Bid Data'!$J:$J,$C46,'Bid Data'!$G:$G,"Yes",'Bid Data'!$D:$D,"&gt;="&amp;(TODAY()-365)),"")</f>
        <v/>
      </c>
      <c r="L46" s="13">
        <f>IFERROR(AVERAGEIFS('Bid Data'!$L:$L,'Bid Data'!$H:$H,$A46,'Bid Data'!$J:$J,$C46,'Bid Data'!$G:$G,"Yes"),"")</f>
        <v/>
      </c>
      <c r="M46" s="11">
        <f>COUNTIFS('Bid Data'!$H:$H,$A46,'Bid Data'!$J:$J,$C46,'Bid Data'!$G:$G,"Yes")</f>
        <v/>
      </c>
    </row>
    <row r="47">
      <c r="A47" s="11" t="inlineStr">
        <is>
          <t>L-125-6</t>
        </is>
      </c>
      <c r="B47" s="12" t="inlineStr">
        <is>
          <t>ONE MODULE, SIZE 1, STYLE 2, INTERNALLY LIGHTED LED GUIDANCE SIGN, BASE MOUNTED ON CONCRETE-ENCASED CAN</t>
        </is>
      </c>
      <c r="C47" s="11" t="inlineStr">
        <is>
          <t>EA</t>
        </is>
      </c>
      <c r="D47" s="13">
        <f>IF(COUNTIFS('Bid Data'!$A:$A,D$5,'Bid Data'!$H:$H,$A47,'Bid Data'!$J:$J,$C47,'Bid Data'!$G:$G,"Yes")=0,"",SUMIFS('Bid Data'!$L:$L,'Bid Data'!$A:$A,D$5,'Bid Data'!$H:$H,$A47,'Bid Data'!$J:$J,$C47,'Bid Data'!$G:$G,"Yes"))</f>
        <v/>
      </c>
      <c r="E47" s="14">
        <f>IF(COUNTIFS('Bid Data'!$A:$A,D$5,'Bid Data'!$H:$H,$A47,'Bid Data'!$J:$J,$C47,'Bid Data'!$G:$G,"Yes")=0,"",SUMIFS('Bid Data'!$K:$K,'Bid Data'!$A:$A,D$5,'Bid Data'!$H:$H,$A47,'Bid Data'!$J:$J,$C47,'Bid Data'!$G:$G,"Yes"))</f>
        <v/>
      </c>
      <c r="F47" s="13">
        <f>IF(COUNTIFS('Bid Data'!$A:$A,F$5,'Bid Data'!$H:$H,$A47,'Bid Data'!$J:$J,$C47,'Bid Data'!$G:$G,"Yes")=0,"",SUMIFS('Bid Data'!$L:$L,'Bid Data'!$A:$A,F$5,'Bid Data'!$H:$H,$A47,'Bid Data'!$J:$J,$C47,'Bid Data'!$G:$G,"Yes"))</f>
        <v/>
      </c>
      <c r="G47" s="14">
        <f>IF(COUNTIFS('Bid Data'!$A:$A,F$5,'Bid Data'!$H:$H,$A47,'Bid Data'!$J:$J,$C47,'Bid Data'!$G:$G,"Yes")=0,"",SUMIFS('Bid Data'!$K:$K,'Bid Data'!$A:$A,F$5,'Bid Data'!$H:$H,$A47,'Bid Data'!$J:$J,$C47,'Bid Data'!$G:$G,"Yes"))</f>
        <v/>
      </c>
      <c r="I47" s="13">
        <f>IFERROR(AVERAGEIFS('Bid Data'!$L:$L,'Bid Data'!$H:$H,$A47,'Bid Data'!$J:$J,$C47,'Bid Data'!$G:$G,"Yes",'Bid Data'!$D:$D,"&gt;="&amp;(TODAY()-91)),"")</f>
        <v/>
      </c>
      <c r="J47" s="13">
        <f>IFERROR(AVERAGEIFS('Bid Data'!$L:$L,'Bid Data'!$H:$H,$A47,'Bid Data'!$J:$J,$C47,'Bid Data'!$G:$G,"Yes",'Bid Data'!$D:$D,"&gt;="&amp;(TODAY()-183)),"")</f>
        <v/>
      </c>
      <c r="K47" s="13">
        <f>IFERROR(AVERAGEIFS('Bid Data'!$L:$L,'Bid Data'!$H:$H,$A47,'Bid Data'!$J:$J,$C47,'Bid Data'!$G:$G,"Yes",'Bid Data'!$D:$D,"&gt;="&amp;(TODAY()-365)),"")</f>
        <v/>
      </c>
      <c r="L47" s="13">
        <f>IFERROR(AVERAGEIFS('Bid Data'!$L:$L,'Bid Data'!$H:$H,$A47,'Bid Data'!$J:$J,$C47,'Bid Data'!$G:$G,"Yes"),"")</f>
        <v/>
      </c>
      <c r="M47" s="11">
        <f>COUNTIFS('Bid Data'!$H:$H,$A47,'Bid Data'!$J:$J,$C47,'Bid Data'!$G:$G,"Yes")</f>
        <v/>
      </c>
    </row>
    <row r="48">
      <c r="A48" s="11" t="inlineStr">
        <is>
          <t>L-125-8</t>
        </is>
      </c>
      <c r="B48" s="12" t="inlineStr">
        <is>
          <t>THREE MODULE, SIZE 1, STYLE 2, INTERNALLY LIGHTED LED GUIDANCE SIGN, BASE MOUNTED ON CONCRETE-ENCASED CAN</t>
        </is>
      </c>
      <c r="C48" s="11" t="inlineStr">
        <is>
          <t>EA</t>
        </is>
      </c>
      <c r="D48" s="13">
        <f>IF(COUNTIFS('Bid Data'!$A:$A,D$5,'Bid Data'!$H:$H,$A48,'Bid Data'!$J:$J,$C48,'Bid Data'!$G:$G,"Yes")=0,"",SUMIFS('Bid Data'!$L:$L,'Bid Data'!$A:$A,D$5,'Bid Data'!$H:$H,$A48,'Bid Data'!$J:$J,$C48,'Bid Data'!$G:$G,"Yes"))</f>
        <v/>
      </c>
      <c r="E48" s="14">
        <f>IF(COUNTIFS('Bid Data'!$A:$A,D$5,'Bid Data'!$H:$H,$A48,'Bid Data'!$J:$J,$C48,'Bid Data'!$G:$G,"Yes")=0,"",SUMIFS('Bid Data'!$K:$K,'Bid Data'!$A:$A,D$5,'Bid Data'!$H:$H,$A48,'Bid Data'!$J:$J,$C48,'Bid Data'!$G:$G,"Yes"))</f>
        <v/>
      </c>
      <c r="F48" s="13">
        <f>IF(COUNTIFS('Bid Data'!$A:$A,F$5,'Bid Data'!$H:$H,$A48,'Bid Data'!$J:$J,$C48,'Bid Data'!$G:$G,"Yes")=0,"",SUMIFS('Bid Data'!$L:$L,'Bid Data'!$A:$A,F$5,'Bid Data'!$H:$H,$A48,'Bid Data'!$J:$J,$C48,'Bid Data'!$G:$G,"Yes"))</f>
        <v/>
      </c>
      <c r="G48" s="14">
        <f>IF(COUNTIFS('Bid Data'!$A:$A,F$5,'Bid Data'!$H:$H,$A48,'Bid Data'!$J:$J,$C48,'Bid Data'!$G:$G,"Yes")=0,"",SUMIFS('Bid Data'!$K:$K,'Bid Data'!$A:$A,F$5,'Bid Data'!$H:$H,$A48,'Bid Data'!$J:$J,$C48,'Bid Data'!$G:$G,"Yes"))</f>
        <v/>
      </c>
      <c r="I48" s="13">
        <f>IFERROR(AVERAGEIFS('Bid Data'!$L:$L,'Bid Data'!$H:$H,$A48,'Bid Data'!$J:$J,$C48,'Bid Data'!$G:$G,"Yes",'Bid Data'!$D:$D,"&gt;="&amp;(TODAY()-91)),"")</f>
        <v/>
      </c>
      <c r="J48" s="13">
        <f>IFERROR(AVERAGEIFS('Bid Data'!$L:$L,'Bid Data'!$H:$H,$A48,'Bid Data'!$J:$J,$C48,'Bid Data'!$G:$G,"Yes",'Bid Data'!$D:$D,"&gt;="&amp;(TODAY()-183)),"")</f>
        <v/>
      </c>
      <c r="K48" s="13">
        <f>IFERROR(AVERAGEIFS('Bid Data'!$L:$L,'Bid Data'!$H:$H,$A48,'Bid Data'!$J:$J,$C48,'Bid Data'!$G:$G,"Yes",'Bid Data'!$D:$D,"&gt;="&amp;(TODAY()-365)),"")</f>
        <v/>
      </c>
      <c r="L48" s="13">
        <f>IFERROR(AVERAGEIFS('Bid Data'!$L:$L,'Bid Data'!$H:$H,$A48,'Bid Data'!$J:$J,$C48,'Bid Data'!$G:$G,"Yes"),"")</f>
        <v/>
      </c>
      <c r="M48" s="11">
        <f>COUNTIFS('Bid Data'!$H:$H,$A48,'Bid Data'!$J:$J,$C48,'Bid Data'!$G:$G,"Yes")</f>
        <v/>
      </c>
    </row>
    <row r="49">
      <c r="A49" s="11" t="inlineStr">
        <is>
          <t>L-125-9</t>
        </is>
      </c>
      <c r="B49" s="12" t="inlineStr">
        <is>
          <t>INSTALL NEW L-881, PAPI-2, STYLE B, LED TILUMINATION, EQUIPPED WITH INTERNAL ADJUSTABLE BAFFLES, MOUNTED ON CONCRETE FOUNDATIONS, COMPLETE, INCLUDING ADJUSTMENTS DURING FAA FLIGHT INSPECTION</t>
        </is>
      </c>
      <c r="C49" s="11" t="inlineStr">
        <is>
          <t>EA</t>
        </is>
      </c>
      <c r="D49" s="13">
        <f>IF(COUNTIFS('Bid Data'!$A:$A,D$5,'Bid Data'!$H:$H,$A49,'Bid Data'!$J:$J,$C49,'Bid Data'!$G:$G,"Yes")=0,"",SUMIFS('Bid Data'!$L:$L,'Bid Data'!$A:$A,D$5,'Bid Data'!$H:$H,$A49,'Bid Data'!$J:$J,$C49,'Bid Data'!$G:$G,"Yes"))</f>
        <v/>
      </c>
      <c r="E49" s="14">
        <f>IF(COUNTIFS('Bid Data'!$A:$A,D$5,'Bid Data'!$H:$H,$A49,'Bid Data'!$J:$J,$C49,'Bid Data'!$G:$G,"Yes")=0,"",SUMIFS('Bid Data'!$K:$K,'Bid Data'!$A:$A,D$5,'Bid Data'!$H:$H,$A49,'Bid Data'!$J:$J,$C49,'Bid Data'!$G:$G,"Yes"))</f>
        <v/>
      </c>
      <c r="F49" s="13">
        <f>IF(COUNTIFS('Bid Data'!$A:$A,F$5,'Bid Data'!$H:$H,$A49,'Bid Data'!$J:$J,$C49,'Bid Data'!$G:$G,"Yes")=0,"",SUMIFS('Bid Data'!$L:$L,'Bid Data'!$A:$A,F$5,'Bid Data'!$H:$H,$A49,'Bid Data'!$J:$J,$C49,'Bid Data'!$G:$G,"Yes"))</f>
        <v/>
      </c>
      <c r="G49" s="14">
        <f>IF(COUNTIFS('Bid Data'!$A:$A,F$5,'Bid Data'!$H:$H,$A49,'Bid Data'!$J:$J,$C49,'Bid Data'!$G:$G,"Yes")=0,"",SUMIFS('Bid Data'!$K:$K,'Bid Data'!$A:$A,F$5,'Bid Data'!$H:$H,$A49,'Bid Data'!$J:$J,$C49,'Bid Data'!$G:$G,"Yes"))</f>
        <v/>
      </c>
      <c r="I49" s="13">
        <f>IFERROR(AVERAGEIFS('Bid Data'!$L:$L,'Bid Data'!$H:$H,$A49,'Bid Data'!$J:$J,$C49,'Bid Data'!$G:$G,"Yes",'Bid Data'!$D:$D,"&gt;="&amp;(TODAY()-91)),"")</f>
        <v/>
      </c>
      <c r="J49" s="13">
        <f>IFERROR(AVERAGEIFS('Bid Data'!$L:$L,'Bid Data'!$H:$H,$A49,'Bid Data'!$J:$J,$C49,'Bid Data'!$G:$G,"Yes",'Bid Data'!$D:$D,"&gt;="&amp;(TODAY()-183)),"")</f>
        <v/>
      </c>
      <c r="K49" s="13">
        <f>IFERROR(AVERAGEIFS('Bid Data'!$L:$L,'Bid Data'!$H:$H,$A49,'Bid Data'!$J:$J,$C49,'Bid Data'!$G:$G,"Yes",'Bid Data'!$D:$D,"&gt;="&amp;(TODAY()-365)),"")</f>
        <v/>
      </c>
      <c r="L49" s="13">
        <f>IFERROR(AVERAGEIFS('Bid Data'!$L:$L,'Bid Data'!$H:$H,$A49,'Bid Data'!$J:$J,$C49,'Bid Data'!$G:$G,"Yes"),"")</f>
        <v/>
      </c>
      <c r="M49" s="11">
        <f>COUNTIFS('Bid Data'!$H:$H,$A49,'Bid Data'!$J:$J,$C49,'Bid Data'!$G:$G,"Yes")</f>
        <v/>
      </c>
    </row>
    <row r="50">
      <c r="A50" s="11" t="inlineStr">
        <is>
          <t>L-125-10</t>
        </is>
      </c>
      <c r="B50" s="12" t="inlineStr">
        <is>
          <t>INSTALL L-853 TAXIWAY REFLECTIVE MARKERS (BLUE 86-UNITS AND GREEN 53-UNITS) AS SPECIFIED ON PLANS, COMPLETE IN PLACE</t>
        </is>
      </c>
      <c r="C50" s="11" t="inlineStr">
        <is>
          <t>EA</t>
        </is>
      </c>
      <c r="D50" s="13">
        <f>IF(COUNTIFS('Bid Data'!$A:$A,D$5,'Bid Data'!$H:$H,$A50,'Bid Data'!$J:$J,$C50,'Bid Data'!$G:$G,"Yes")=0,"",SUMIFS('Bid Data'!$L:$L,'Bid Data'!$A:$A,D$5,'Bid Data'!$H:$H,$A50,'Bid Data'!$J:$J,$C50,'Bid Data'!$G:$G,"Yes"))</f>
        <v/>
      </c>
      <c r="E50" s="14">
        <f>IF(COUNTIFS('Bid Data'!$A:$A,D$5,'Bid Data'!$H:$H,$A50,'Bid Data'!$J:$J,$C50,'Bid Data'!$G:$G,"Yes")=0,"",SUMIFS('Bid Data'!$K:$K,'Bid Data'!$A:$A,D$5,'Bid Data'!$H:$H,$A50,'Bid Data'!$J:$J,$C50,'Bid Data'!$G:$G,"Yes"))</f>
        <v/>
      </c>
      <c r="F50" s="13">
        <f>IF(COUNTIFS('Bid Data'!$A:$A,F$5,'Bid Data'!$H:$H,$A50,'Bid Data'!$J:$J,$C50,'Bid Data'!$G:$G,"Yes")=0,"",SUMIFS('Bid Data'!$L:$L,'Bid Data'!$A:$A,F$5,'Bid Data'!$H:$H,$A50,'Bid Data'!$J:$J,$C50,'Bid Data'!$G:$G,"Yes"))</f>
        <v/>
      </c>
      <c r="G50" s="14">
        <f>IF(COUNTIFS('Bid Data'!$A:$A,F$5,'Bid Data'!$H:$H,$A50,'Bid Data'!$J:$J,$C50,'Bid Data'!$G:$G,"Yes")=0,"",SUMIFS('Bid Data'!$K:$K,'Bid Data'!$A:$A,F$5,'Bid Data'!$H:$H,$A50,'Bid Data'!$J:$J,$C50,'Bid Data'!$G:$G,"Yes"))</f>
        <v/>
      </c>
      <c r="I50" s="13">
        <f>IFERROR(AVERAGEIFS('Bid Data'!$L:$L,'Bid Data'!$H:$H,$A50,'Bid Data'!$J:$J,$C50,'Bid Data'!$G:$G,"Yes",'Bid Data'!$D:$D,"&gt;="&amp;(TODAY()-91)),"")</f>
        <v/>
      </c>
      <c r="J50" s="13">
        <f>IFERROR(AVERAGEIFS('Bid Data'!$L:$L,'Bid Data'!$H:$H,$A50,'Bid Data'!$J:$J,$C50,'Bid Data'!$G:$G,"Yes",'Bid Data'!$D:$D,"&gt;="&amp;(TODAY()-183)),"")</f>
        <v/>
      </c>
      <c r="K50" s="13">
        <f>IFERROR(AVERAGEIFS('Bid Data'!$L:$L,'Bid Data'!$H:$H,$A50,'Bid Data'!$J:$J,$C50,'Bid Data'!$G:$G,"Yes",'Bid Data'!$D:$D,"&gt;="&amp;(TODAY()-365)),"")</f>
        <v/>
      </c>
      <c r="L50" s="13">
        <f>IFERROR(AVERAGEIFS('Bid Data'!$L:$L,'Bid Data'!$H:$H,$A50,'Bid Data'!$J:$J,$C50,'Bid Data'!$G:$G,"Yes"),"")</f>
        <v/>
      </c>
      <c r="M50" s="11">
        <f>COUNTIFS('Bid Data'!$H:$H,$A50,'Bid Data'!$J:$J,$C50,'Bid Data'!$G:$G,"Yes")</f>
        <v/>
      </c>
    </row>
    <row r="51">
      <c r="A51" s="11" t="inlineStr">
        <is>
          <t>L-125.1</t>
        </is>
      </c>
      <c r="B51" s="12" t="inlineStr">
        <is>
          <t>REMOVE AND DISPOSE OFF SITE, EXISTING STAKE-MOUNTED RUNWAY EDGE ‘LIGHTS FIXTURES (INCLUDING ALL UNDERGROUND ‘CONDUIT, WIRING CONNECTIONS, AND BOXES), MIRLS</t>
        </is>
      </c>
      <c r="C51" s="11" t="n"/>
      <c r="D51" s="13">
        <f>IF(COUNTIFS('Bid Data'!$A:$A,D$5,'Bid Data'!$H:$H,$A51,'Bid Data'!$J:$J,$C51,'Bid Data'!$G:$G,"Yes")=0,"",SUMIFS('Bid Data'!$L:$L,'Bid Data'!$A:$A,D$5,'Bid Data'!$H:$H,$A51,'Bid Data'!$J:$J,$C51,'Bid Data'!$G:$G,"Yes"))</f>
        <v/>
      </c>
      <c r="E51" s="14">
        <f>IF(COUNTIFS('Bid Data'!$A:$A,D$5,'Bid Data'!$H:$H,$A51,'Bid Data'!$J:$J,$C51,'Bid Data'!$G:$G,"Yes")=0,"",SUMIFS('Bid Data'!$K:$K,'Bid Data'!$A:$A,D$5,'Bid Data'!$H:$H,$A51,'Bid Data'!$J:$J,$C51,'Bid Data'!$G:$G,"Yes"))</f>
        <v/>
      </c>
      <c r="F51" s="13">
        <f>IF(COUNTIFS('Bid Data'!$A:$A,F$5,'Bid Data'!$H:$H,$A51,'Bid Data'!$J:$J,$C51,'Bid Data'!$G:$G,"Yes")=0,"",SUMIFS('Bid Data'!$L:$L,'Bid Data'!$A:$A,F$5,'Bid Data'!$H:$H,$A51,'Bid Data'!$J:$J,$C51,'Bid Data'!$G:$G,"Yes"))</f>
        <v/>
      </c>
      <c r="G51" s="14">
        <f>IF(COUNTIFS('Bid Data'!$A:$A,F$5,'Bid Data'!$H:$H,$A51,'Bid Data'!$J:$J,$C51,'Bid Data'!$G:$G,"Yes")=0,"",SUMIFS('Bid Data'!$K:$K,'Bid Data'!$A:$A,F$5,'Bid Data'!$H:$H,$A51,'Bid Data'!$J:$J,$C51,'Bid Data'!$G:$G,"Yes"))</f>
        <v/>
      </c>
      <c r="I51" s="13">
        <f>IFERROR(AVERAGEIFS('Bid Data'!$L:$L,'Bid Data'!$H:$H,$A51,'Bid Data'!$J:$J,$C51,'Bid Data'!$G:$G,"Yes",'Bid Data'!$D:$D,"&gt;="&amp;(TODAY()-91)),"")</f>
        <v/>
      </c>
      <c r="J51" s="13">
        <f>IFERROR(AVERAGEIFS('Bid Data'!$L:$L,'Bid Data'!$H:$H,$A51,'Bid Data'!$J:$J,$C51,'Bid Data'!$G:$G,"Yes",'Bid Data'!$D:$D,"&gt;="&amp;(TODAY()-183)),"")</f>
        <v/>
      </c>
      <c r="K51" s="13">
        <f>IFERROR(AVERAGEIFS('Bid Data'!$L:$L,'Bid Data'!$H:$H,$A51,'Bid Data'!$J:$J,$C51,'Bid Data'!$G:$G,"Yes",'Bid Data'!$D:$D,"&gt;="&amp;(TODAY()-365)),"")</f>
        <v/>
      </c>
      <c r="L51" s="13">
        <f>IFERROR(AVERAGEIFS('Bid Data'!$L:$L,'Bid Data'!$H:$H,$A51,'Bid Data'!$J:$J,$C51,'Bid Data'!$G:$G,"Yes"),"")</f>
        <v/>
      </c>
      <c r="M51" s="11">
        <f>COUNTIFS('Bid Data'!$H:$H,$A51,'Bid Data'!$J:$J,$C51,'Bid Data'!$G:$G,"Yes")</f>
        <v/>
      </c>
    </row>
    <row r="52">
      <c r="A52" s="11" t="inlineStr">
        <is>
          <t>L-125.2</t>
        </is>
      </c>
      <c r="B52" s="12" t="inlineStr">
        <is>
          <t>REMOVE AND DISPOSE OFF SITE, EXISTING DIRECTIONAL SIGNAGE {INCLUDING ALL UNDERGROUND CONDUIT, WIRING CONNECTIONS, BOXES, AND CONCRETE PADS)</t>
        </is>
      </c>
      <c r="C52" s="11" t="inlineStr">
        <is>
          <t>EA</t>
        </is>
      </c>
      <c r="D52" s="13">
        <f>IF(COUNTIFS('Bid Data'!$A:$A,D$5,'Bid Data'!$H:$H,$A52,'Bid Data'!$J:$J,$C52,'Bid Data'!$G:$G,"Yes")=0,"",SUMIFS('Bid Data'!$L:$L,'Bid Data'!$A:$A,D$5,'Bid Data'!$H:$H,$A52,'Bid Data'!$J:$J,$C52,'Bid Data'!$G:$G,"Yes"))</f>
        <v/>
      </c>
      <c r="E52" s="14">
        <f>IF(COUNTIFS('Bid Data'!$A:$A,D$5,'Bid Data'!$H:$H,$A52,'Bid Data'!$J:$J,$C52,'Bid Data'!$G:$G,"Yes")=0,"",SUMIFS('Bid Data'!$K:$K,'Bid Data'!$A:$A,D$5,'Bid Data'!$H:$H,$A52,'Bid Data'!$J:$J,$C52,'Bid Data'!$G:$G,"Yes"))</f>
        <v/>
      </c>
      <c r="F52" s="13">
        <f>IF(COUNTIFS('Bid Data'!$A:$A,F$5,'Bid Data'!$H:$H,$A52,'Bid Data'!$J:$J,$C52,'Bid Data'!$G:$G,"Yes")=0,"",SUMIFS('Bid Data'!$L:$L,'Bid Data'!$A:$A,F$5,'Bid Data'!$H:$H,$A52,'Bid Data'!$J:$J,$C52,'Bid Data'!$G:$G,"Yes"))</f>
        <v/>
      </c>
      <c r="G52" s="14">
        <f>IF(COUNTIFS('Bid Data'!$A:$A,F$5,'Bid Data'!$H:$H,$A52,'Bid Data'!$J:$J,$C52,'Bid Data'!$G:$G,"Yes")=0,"",SUMIFS('Bid Data'!$K:$K,'Bid Data'!$A:$A,F$5,'Bid Data'!$H:$H,$A52,'Bid Data'!$J:$J,$C52,'Bid Data'!$G:$G,"Yes"))</f>
        <v/>
      </c>
      <c r="I52" s="13">
        <f>IFERROR(AVERAGEIFS('Bid Data'!$L:$L,'Bid Data'!$H:$H,$A52,'Bid Data'!$J:$J,$C52,'Bid Data'!$G:$G,"Yes",'Bid Data'!$D:$D,"&gt;="&amp;(TODAY()-91)),"")</f>
        <v/>
      </c>
      <c r="J52" s="13">
        <f>IFERROR(AVERAGEIFS('Bid Data'!$L:$L,'Bid Data'!$H:$H,$A52,'Bid Data'!$J:$J,$C52,'Bid Data'!$G:$G,"Yes",'Bid Data'!$D:$D,"&gt;="&amp;(TODAY()-183)),"")</f>
        <v/>
      </c>
      <c r="K52" s="13">
        <f>IFERROR(AVERAGEIFS('Bid Data'!$L:$L,'Bid Data'!$H:$H,$A52,'Bid Data'!$J:$J,$C52,'Bid Data'!$G:$G,"Yes",'Bid Data'!$D:$D,"&gt;="&amp;(TODAY()-365)),"")</f>
        <v/>
      </c>
      <c r="L52" s="13">
        <f>IFERROR(AVERAGEIFS('Bid Data'!$L:$L,'Bid Data'!$H:$H,$A52,'Bid Data'!$J:$J,$C52,'Bid Data'!$G:$G,"Yes"),"")</f>
        <v/>
      </c>
      <c r="M52" s="11">
        <f>COUNTIFS('Bid Data'!$H:$H,$A52,'Bid Data'!$J:$J,$C52,'Bid Data'!$G:$G,"Yes")</f>
        <v/>
      </c>
    </row>
    <row r="53">
      <c r="A53" s="11" t="inlineStr">
        <is>
          <t>MC1-1</t>
        </is>
      </c>
      <c r="B53" s="12" t="inlineStr">
        <is>
          <t>FURNISH AND INSTALL AIRCRAFT TIE- DOWN ANCHORS, COMPLETE</t>
        </is>
      </c>
      <c r="C53" s="11" t="inlineStr">
        <is>
          <t>EA</t>
        </is>
      </c>
      <c r="D53" s="13">
        <f>IF(COUNTIFS('Bid Data'!$A:$A,D$5,'Bid Data'!$H:$H,$A53,'Bid Data'!$J:$J,$C53,'Bid Data'!$G:$G,"Yes")=0,"",SUMIFS('Bid Data'!$L:$L,'Bid Data'!$A:$A,D$5,'Bid Data'!$H:$H,$A53,'Bid Data'!$J:$J,$C53,'Bid Data'!$G:$G,"Yes"))</f>
        <v/>
      </c>
      <c r="E53" s="14">
        <f>IF(COUNTIFS('Bid Data'!$A:$A,D$5,'Bid Data'!$H:$H,$A53,'Bid Data'!$J:$J,$C53,'Bid Data'!$G:$G,"Yes")=0,"",SUMIFS('Bid Data'!$K:$K,'Bid Data'!$A:$A,D$5,'Bid Data'!$H:$H,$A53,'Bid Data'!$J:$J,$C53,'Bid Data'!$G:$G,"Yes"))</f>
        <v/>
      </c>
      <c r="F53" s="13">
        <f>IF(COUNTIFS('Bid Data'!$A:$A,F$5,'Bid Data'!$H:$H,$A53,'Bid Data'!$J:$J,$C53,'Bid Data'!$G:$G,"Yes")=0,"",SUMIFS('Bid Data'!$L:$L,'Bid Data'!$A:$A,F$5,'Bid Data'!$H:$H,$A53,'Bid Data'!$J:$J,$C53,'Bid Data'!$G:$G,"Yes"))</f>
        <v/>
      </c>
      <c r="G53" s="14">
        <f>IF(COUNTIFS('Bid Data'!$A:$A,F$5,'Bid Data'!$H:$H,$A53,'Bid Data'!$J:$J,$C53,'Bid Data'!$G:$G,"Yes")=0,"",SUMIFS('Bid Data'!$K:$K,'Bid Data'!$A:$A,F$5,'Bid Data'!$H:$H,$A53,'Bid Data'!$J:$J,$C53,'Bid Data'!$G:$G,"Yes"))</f>
        <v/>
      </c>
      <c r="I53" s="13">
        <f>IFERROR(AVERAGEIFS('Bid Data'!$L:$L,'Bid Data'!$H:$H,$A53,'Bid Data'!$J:$J,$C53,'Bid Data'!$G:$G,"Yes",'Bid Data'!$D:$D,"&gt;="&amp;(TODAY()-91)),"")</f>
        <v/>
      </c>
      <c r="J53" s="13">
        <f>IFERROR(AVERAGEIFS('Bid Data'!$L:$L,'Bid Data'!$H:$H,$A53,'Bid Data'!$J:$J,$C53,'Bid Data'!$G:$G,"Yes",'Bid Data'!$D:$D,"&gt;="&amp;(TODAY()-183)),"")</f>
        <v/>
      </c>
      <c r="K53" s="13">
        <f>IFERROR(AVERAGEIFS('Bid Data'!$L:$L,'Bid Data'!$H:$H,$A53,'Bid Data'!$J:$J,$C53,'Bid Data'!$G:$G,"Yes",'Bid Data'!$D:$D,"&gt;="&amp;(TODAY()-365)),"")</f>
        <v/>
      </c>
      <c r="L53" s="13">
        <f>IFERROR(AVERAGEIFS('Bid Data'!$L:$L,'Bid Data'!$H:$H,$A53,'Bid Data'!$J:$J,$C53,'Bid Data'!$G:$G,"Yes"),"")</f>
        <v/>
      </c>
      <c r="M53" s="11">
        <f>COUNTIFS('Bid Data'!$H:$H,$A53,'Bid Data'!$J:$J,$C53,'Bid Data'!$G:$G,"Yes")</f>
        <v/>
      </c>
    </row>
    <row r="54">
      <c r="A54" s="11" t="inlineStr">
        <is>
          <t>P-101-5.1</t>
        </is>
      </c>
      <c r="B54" s="12" t="inlineStr">
        <is>
          <t>PAVEMENT REMOVAL AND STOCKPILE</t>
        </is>
      </c>
      <c r="C54" s="11" t="inlineStr">
        <is>
          <t>SY</t>
        </is>
      </c>
      <c r="D54" s="13">
        <f>IF(COUNTIFS('Bid Data'!$A:$A,D$5,'Bid Data'!$H:$H,$A54,'Bid Data'!$J:$J,$C54,'Bid Data'!$G:$G,"Yes")=0,"",SUMIFS('Bid Data'!$L:$L,'Bid Data'!$A:$A,D$5,'Bid Data'!$H:$H,$A54,'Bid Data'!$J:$J,$C54,'Bid Data'!$G:$G,"Yes"))</f>
        <v/>
      </c>
      <c r="E54" s="14">
        <f>IF(COUNTIFS('Bid Data'!$A:$A,D$5,'Bid Data'!$H:$H,$A54,'Bid Data'!$J:$J,$C54,'Bid Data'!$G:$G,"Yes")=0,"",SUMIFS('Bid Data'!$K:$K,'Bid Data'!$A:$A,D$5,'Bid Data'!$H:$H,$A54,'Bid Data'!$J:$J,$C54,'Bid Data'!$G:$G,"Yes"))</f>
        <v/>
      </c>
      <c r="F54" s="13">
        <f>IF(COUNTIFS('Bid Data'!$A:$A,F$5,'Bid Data'!$H:$H,$A54,'Bid Data'!$J:$J,$C54,'Bid Data'!$G:$G,"Yes")=0,"",SUMIFS('Bid Data'!$L:$L,'Bid Data'!$A:$A,F$5,'Bid Data'!$H:$H,$A54,'Bid Data'!$J:$J,$C54,'Bid Data'!$G:$G,"Yes"))</f>
        <v/>
      </c>
      <c r="G54" s="14">
        <f>IF(COUNTIFS('Bid Data'!$A:$A,F$5,'Bid Data'!$H:$H,$A54,'Bid Data'!$J:$J,$C54,'Bid Data'!$G:$G,"Yes")=0,"",SUMIFS('Bid Data'!$K:$K,'Bid Data'!$A:$A,F$5,'Bid Data'!$H:$H,$A54,'Bid Data'!$J:$J,$C54,'Bid Data'!$G:$G,"Yes"))</f>
        <v/>
      </c>
      <c r="I54" s="13">
        <f>IFERROR(AVERAGEIFS('Bid Data'!$L:$L,'Bid Data'!$H:$H,$A54,'Bid Data'!$J:$J,$C54,'Bid Data'!$G:$G,"Yes",'Bid Data'!$D:$D,"&gt;="&amp;(TODAY()-91)),"")</f>
        <v/>
      </c>
      <c r="J54" s="13">
        <f>IFERROR(AVERAGEIFS('Bid Data'!$L:$L,'Bid Data'!$H:$H,$A54,'Bid Data'!$J:$J,$C54,'Bid Data'!$G:$G,"Yes",'Bid Data'!$D:$D,"&gt;="&amp;(TODAY()-183)),"")</f>
        <v/>
      </c>
      <c r="K54" s="13">
        <f>IFERROR(AVERAGEIFS('Bid Data'!$L:$L,'Bid Data'!$H:$H,$A54,'Bid Data'!$J:$J,$C54,'Bid Data'!$G:$G,"Yes",'Bid Data'!$D:$D,"&gt;="&amp;(TODAY()-365)),"")</f>
        <v/>
      </c>
      <c r="L54" s="13">
        <f>IFERROR(AVERAGEIFS('Bid Data'!$L:$L,'Bid Data'!$H:$H,$A54,'Bid Data'!$J:$J,$C54,'Bid Data'!$G:$G,"Yes"),"")</f>
        <v/>
      </c>
      <c r="M54" s="11">
        <f>COUNTIFS('Bid Data'!$H:$H,$A54,'Bid Data'!$J:$J,$C54,'Bid Data'!$G:$G,"Yes")</f>
        <v/>
      </c>
    </row>
    <row r="55">
      <c r="A55" s="11" t="inlineStr">
        <is>
          <t>P-140-3.1</t>
        </is>
      </c>
      <c r="B55" s="12" t="inlineStr">
        <is>
          <t>TEMPORARY BARRICADES AND MARKING FOR PAVEMENT CLOSURE</t>
        </is>
      </c>
      <c r="C55" s="11" t="inlineStr">
        <is>
          <t>LS</t>
        </is>
      </c>
      <c r="D55" s="13">
        <f>IF(COUNTIFS('Bid Data'!$A:$A,D$5,'Bid Data'!$H:$H,$A55,'Bid Data'!$J:$J,$C55,'Bid Data'!$G:$G,"Yes")=0,"",SUMIFS('Bid Data'!$L:$L,'Bid Data'!$A:$A,D$5,'Bid Data'!$H:$H,$A55,'Bid Data'!$J:$J,$C55,'Bid Data'!$G:$G,"Yes"))</f>
        <v/>
      </c>
      <c r="E55" s="14">
        <f>IF(COUNTIFS('Bid Data'!$A:$A,D$5,'Bid Data'!$H:$H,$A55,'Bid Data'!$J:$J,$C55,'Bid Data'!$G:$G,"Yes")=0,"",SUMIFS('Bid Data'!$K:$K,'Bid Data'!$A:$A,D$5,'Bid Data'!$H:$H,$A55,'Bid Data'!$J:$J,$C55,'Bid Data'!$G:$G,"Yes"))</f>
        <v/>
      </c>
      <c r="F55" s="13">
        <f>IF(COUNTIFS('Bid Data'!$A:$A,F$5,'Bid Data'!$H:$H,$A55,'Bid Data'!$J:$J,$C55,'Bid Data'!$G:$G,"Yes")=0,"",SUMIFS('Bid Data'!$L:$L,'Bid Data'!$A:$A,F$5,'Bid Data'!$H:$H,$A55,'Bid Data'!$J:$J,$C55,'Bid Data'!$G:$G,"Yes"))</f>
        <v/>
      </c>
      <c r="G55" s="14">
        <f>IF(COUNTIFS('Bid Data'!$A:$A,F$5,'Bid Data'!$H:$H,$A55,'Bid Data'!$J:$J,$C55,'Bid Data'!$G:$G,"Yes")=0,"",SUMIFS('Bid Data'!$K:$K,'Bid Data'!$A:$A,F$5,'Bid Data'!$H:$H,$A55,'Bid Data'!$J:$J,$C55,'Bid Data'!$G:$G,"Yes"))</f>
        <v/>
      </c>
      <c r="I55" s="13">
        <f>IFERROR(AVERAGEIFS('Bid Data'!$L:$L,'Bid Data'!$H:$H,$A55,'Bid Data'!$J:$J,$C55,'Bid Data'!$G:$G,"Yes",'Bid Data'!$D:$D,"&gt;="&amp;(TODAY()-91)),"")</f>
        <v/>
      </c>
      <c r="J55" s="13">
        <f>IFERROR(AVERAGEIFS('Bid Data'!$L:$L,'Bid Data'!$H:$H,$A55,'Bid Data'!$J:$J,$C55,'Bid Data'!$G:$G,"Yes",'Bid Data'!$D:$D,"&gt;="&amp;(TODAY()-183)),"")</f>
        <v/>
      </c>
      <c r="K55" s="13">
        <f>IFERROR(AVERAGEIFS('Bid Data'!$L:$L,'Bid Data'!$H:$H,$A55,'Bid Data'!$J:$J,$C55,'Bid Data'!$G:$G,"Yes",'Bid Data'!$D:$D,"&gt;="&amp;(TODAY()-365)),"")</f>
        <v/>
      </c>
      <c r="L55" s="13">
        <f>IFERROR(AVERAGEIFS('Bid Data'!$L:$L,'Bid Data'!$H:$H,$A55,'Bid Data'!$J:$J,$C55,'Bid Data'!$G:$G,"Yes"),"")</f>
        <v/>
      </c>
      <c r="M55" s="11">
        <f>COUNTIFS('Bid Data'!$H:$H,$A55,'Bid Data'!$J:$J,$C55,'Bid Data'!$G:$G,"Yes")</f>
        <v/>
      </c>
    </row>
    <row r="56">
      <c r="A56" s="11" t="inlineStr">
        <is>
          <t>P-152-4.1</t>
        </is>
      </c>
      <c r="B56" s="12" t="inlineStr">
        <is>
          <t>DRAINAGE EXCAVATION AND TRENCHING</t>
        </is>
      </c>
      <c r="C56" s="11" t="inlineStr">
        <is>
          <t>CY</t>
        </is>
      </c>
      <c r="D56" s="13">
        <f>IF(COUNTIFS('Bid Data'!$A:$A,D$5,'Bid Data'!$H:$H,$A56,'Bid Data'!$J:$J,$C56,'Bid Data'!$G:$G,"Yes")=0,"",SUMIFS('Bid Data'!$L:$L,'Bid Data'!$A:$A,D$5,'Bid Data'!$H:$H,$A56,'Bid Data'!$J:$J,$C56,'Bid Data'!$G:$G,"Yes"))</f>
        <v/>
      </c>
      <c r="E56" s="14">
        <f>IF(COUNTIFS('Bid Data'!$A:$A,D$5,'Bid Data'!$H:$H,$A56,'Bid Data'!$J:$J,$C56,'Bid Data'!$G:$G,"Yes")=0,"",SUMIFS('Bid Data'!$K:$K,'Bid Data'!$A:$A,D$5,'Bid Data'!$H:$H,$A56,'Bid Data'!$J:$J,$C56,'Bid Data'!$G:$G,"Yes"))</f>
        <v/>
      </c>
      <c r="F56" s="13">
        <f>IF(COUNTIFS('Bid Data'!$A:$A,F$5,'Bid Data'!$H:$H,$A56,'Bid Data'!$J:$J,$C56,'Bid Data'!$G:$G,"Yes")=0,"",SUMIFS('Bid Data'!$L:$L,'Bid Data'!$A:$A,F$5,'Bid Data'!$H:$H,$A56,'Bid Data'!$J:$J,$C56,'Bid Data'!$G:$G,"Yes"))</f>
        <v/>
      </c>
      <c r="G56" s="14">
        <f>IF(COUNTIFS('Bid Data'!$A:$A,F$5,'Bid Data'!$H:$H,$A56,'Bid Data'!$J:$J,$C56,'Bid Data'!$G:$G,"Yes")=0,"",SUMIFS('Bid Data'!$K:$K,'Bid Data'!$A:$A,F$5,'Bid Data'!$H:$H,$A56,'Bid Data'!$J:$J,$C56,'Bid Data'!$G:$G,"Yes"))</f>
        <v/>
      </c>
      <c r="I56" s="13">
        <f>IFERROR(AVERAGEIFS('Bid Data'!$L:$L,'Bid Data'!$H:$H,$A56,'Bid Data'!$J:$J,$C56,'Bid Data'!$G:$G,"Yes",'Bid Data'!$D:$D,"&gt;="&amp;(TODAY()-91)),"")</f>
        <v/>
      </c>
      <c r="J56" s="13">
        <f>IFERROR(AVERAGEIFS('Bid Data'!$L:$L,'Bid Data'!$H:$H,$A56,'Bid Data'!$J:$J,$C56,'Bid Data'!$G:$G,"Yes",'Bid Data'!$D:$D,"&gt;="&amp;(TODAY()-183)),"")</f>
        <v/>
      </c>
      <c r="K56" s="13">
        <f>IFERROR(AVERAGEIFS('Bid Data'!$L:$L,'Bid Data'!$H:$H,$A56,'Bid Data'!$J:$J,$C56,'Bid Data'!$G:$G,"Yes",'Bid Data'!$D:$D,"&gt;="&amp;(TODAY()-365)),"")</f>
        <v/>
      </c>
      <c r="L56" s="13">
        <f>IFERROR(AVERAGEIFS('Bid Data'!$L:$L,'Bid Data'!$H:$H,$A56,'Bid Data'!$J:$J,$C56,'Bid Data'!$G:$G,"Yes"),"")</f>
        <v/>
      </c>
      <c r="M56" s="11">
        <f>COUNTIFS('Bid Data'!$H:$H,$A56,'Bid Data'!$J:$J,$C56,'Bid Data'!$G:$G,"Yes")</f>
        <v/>
      </c>
    </row>
    <row r="57">
      <c r="A57" s="11" t="inlineStr">
        <is>
          <t>P-152-4.2</t>
        </is>
      </c>
      <c r="B57" s="12" t="inlineStr">
        <is>
          <t>EMBANKMENT IN PLACE</t>
        </is>
      </c>
      <c r="C57" s="11" t="inlineStr">
        <is>
          <t>CY</t>
        </is>
      </c>
      <c r="D57" s="13">
        <f>IF(COUNTIFS('Bid Data'!$A:$A,D$5,'Bid Data'!$H:$H,$A57,'Bid Data'!$J:$J,$C57,'Bid Data'!$G:$G,"Yes")=0,"",SUMIFS('Bid Data'!$L:$L,'Bid Data'!$A:$A,D$5,'Bid Data'!$H:$H,$A57,'Bid Data'!$J:$J,$C57,'Bid Data'!$G:$G,"Yes"))</f>
        <v/>
      </c>
      <c r="E57" s="14">
        <f>IF(COUNTIFS('Bid Data'!$A:$A,D$5,'Bid Data'!$H:$H,$A57,'Bid Data'!$J:$J,$C57,'Bid Data'!$G:$G,"Yes")=0,"",SUMIFS('Bid Data'!$K:$K,'Bid Data'!$A:$A,D$5,'Bid Data'!$H:$H,$A57,'Bid Data'!$J:$J,$C57,'Bid Data'!$G:$G,"Yes"))</f>
        <v/>
      </c>
      <c r="F57" s="13">
        <f>IF(COUNTIFS('Bid Data'!$A:$A,F$5,'Bid Data'!$H:$H,$A57,'Bid Data'!$J:$J,$C57,'Bid Data'!$G:$G,"Yes")=0,"",SUMIFS('Bid Data'!$L:$L,'Bid Data'!$A:$A,F$5,'Bid Data'!$H:$H,$A57,'Bid Data'!$J:$J,$C57,'Bid Data'!$G:$G,"Yes"))</f>
        <v/>
      </c>
      <c r="G57" s="14">
        <f>IF(COUNTIFS('Bid Data'!$A:$A,F$5,'Bid Data'!$H:$H,$A57,'Bid Data'!$J:$J,$C57,'Bid Data'!$G:$G,"Yes")=0,"",SUMIFS('Bid Data'!$K:$K,'Bid Data'!$A:$A,F$5,'Bid Data'!$H:$H,$A57,'Bid Data'!$J:$J,$C57,'Bid Data'!$G:$G,"Yes"))</f>
        <v/>
      </c>
      <c r="I57" s="13">
        <f>IFERROR(AVERAGEIFS('Bid Data'!$L:$L,'Bid Data'!$H:$H,$A57,'Bid Data'!$J:$J,$C57,'Bid Data'!$G:$G,"Yes",'Bid Data'!$D:$D,"&gt;="&amp;(TODAY()-91)),"")</f>
        <v/>
      </c>
      <c r="J57" s="13">
        <f>IFERROR(AVERAGEIFS('Bid Data'!$L:$L,'Bid Data'!$H:$H,$A57,'Bid Data'!$J:$J,$C57,'Bid Data'!$G:$G,"Yes",'Bid Data'!$D:$D,"&gt;="&amp;(TODAY()-183)),"")</f>
        <v/>
      </c>
      <c r="K57" s="13">
        <f>IFERROR(AVERAGEIFS('Bid Data'!$L:$L,'Bid Data'!$H:$H,$A57,'Bid Data'!$J:$J,$C57,'Bid Data'!$G:$G,"Yes",'Bid Data'!$D:$D,"&gt;="&amp;(TODAY()-365)),"")</f>
        <v/>
      </c>
      <c r="L57" s="13">
        <f>IFERROR(AVERAGEIFS('Bid Data'!$L:$L,'Bid Data'!$H:$H,$A57,'Bid Data'!$J:$J,$C57,'Bid Data'!$G:$G,"Yes"),"")</f>
        <v/>
      </c>
      <c r="M57" s="11">
        <f>COUNTIFS('Bid Data'!$H:$H,$A57,'Bid Data'!$J:$J,$C57,'Bid Data'!$G:$G,"Yes")</f>
        <v/>
      </c>
    </row>
    <row r="58">
      <c r="A58" s="11" t="inlineStr">
        <is>
          <t>P-152-4.4</t>
        </is>
      </c>
      <c r="B58" s="12" t="inlineStr">
        <is>
          <t>EXCAVATION, GRADING, AND SUBGRADE PREPARATION</t>
        </is>
      </c>
      <c r="C58" s="11" t="inlineStr">
        <is>
          <t>SY</t>
        </is>
      </c>
      <c r="D58" s="13">
        <f>IF(COUNTIFS('Bid Data'!$A:$A,D$5,'Bid Data'!$H:$H,$A58,'Bid Data'!$J:$J,$C58,'Bid Data'!$G:$G,"Yes")=0,"",SUMIFS('Bid Data'!$L:$L,'Bid Data'!$A:$A,D$5,'Bid Data'!$H:$H,$A58,'Bid Data'!$J:$J,$C58,'Bid Data'!$G:$G,"Yes"))</f>
        <v/>
      </c>
      <c r="E58" s="14">
        <f>IF(COUNTIFS('Bid Data'!$A:$A,D$5,'Bid Data'!$H:$H,$A58,'Bid Data'!$J:$J,$C58,'Bid Data'!$G:$G,"Yes")=0,"",SUMIFS('Bid Data'!$K:$K,'Bid Data'!$A:$A,D$5,'Bid Data'!$H:$H,$A58,'Bid Data'!$J:$J,$C58,'Bid Data'!$G:$G,"Yes"))</f>
        <v/>
      </c>
      <c r="F58" s="13">
        <f>IF(COUNTIFS('Bid Data'!$A:$A,F$5,'Bid Data'!$H:$H,$A58,'Bid Data'!$J:$J,$C58,'Bid Data'!$G:$G,"Yes")=0,"",SUMIFS('Bid Data'!$L:$L,'Bid Data'!$A:$A,F$5,'Bid Data'!$H:$H,$A58,'Bid Data'!$J:$J,$C58,'Bid Data'!$G:$G,"Yes"))</f>
        <v/>
      </c>
      <c r="G58" s="14">
        <f>IF(COUNTIFS('Bid Data'!$A:$A,F$5,'Bid Data'!$H:$H,$A58,'Bid Data'!$J:$J,$C58,'Bid Data'!$G:$G,"Yes")=0,"",SUMIFS('Bid Data'!$K:$K,'Bid Data'!$A:$A,F$5,'Bid Data'!$H:$H,$A58,'Bid Data'!$J:$J,$C58,'Bid Data'!$G:$G,"Yes"))</f>
        <v/>
      </c>
      <c r="I58" s="13">
        <f>IFERROR(AVERAGEIFS('Bid Data'!$L:$L,'Bid Data'!$H:$H,$A58,'Bid Data'!$J:$J,$C58,'Bid Data'!$G:$G,"Yes",'Bid Data'!$D:$D,"&gt;="&amp;(TODAY()-91)),"")</f>
        <v/>
      </c>
      <c r="J58" s="13">
        <f>IFERROR(AVERAGEIFS('Bid Data'!$L:$L,'Bid Data'!$H:$H,$A58,'Bid Data'!$J:$J,$C58,'Bid Data'!$G:$G,"Yes",'Bid Data'!$D:$D,"&gt;="&amp;(TODAY()-183)),"")</f>
        <v/>
      </c>
      <c r="K58" s="13">
        <f>IFERROR(AVERAGEIFS('Bid Data'!$L:$L,'Bid Data'!$H:$H,$A58,'Bid Data'!$J:$J,$C58,'Bid Data'!$G:$G,"Yes",'Bid Data'!$D:$D,"&gt;="&amp;(TODAY()-365)),"")</f>
        <v/>
      </c>
      <c r="L58" s="13">
        <f>IFERROR(AVERAGEIFS('Bid Data'!$L:$L,'Bid Data'!$H:$H,$A58,'Bid Data'!$J:$J,$C58,'Bid Data'!$G:$G,"Yes"),"")</f>
        <v/>
      </c>
      <c r="M58" s="11">
        <f>COUNTIFS('Bid Data'!$H:$H,$A58,'Bid Data'!$J:$J,$C58,'Bid Data'!$G:$G,"Yes")</f>
        <v/>
      </c>
    </row>
    <row r="59">
      <c r="A59" s="11" t="inlineStr">
        <is>
          <t>P-152-4.5</t>
        </is>
      </c>
      <c r="B59" s="12" t="inlineStr">
        <is>
          <t>GRADING IN UNPAVED AREAS</t>
        </is>
      </c>
      <c r="C59" s="11" t="inlineStr">
        <is>
          <t>SY</t>
        </is>
      </c>
      <c r="D59" s="13">
        <f>IF(COUNTIFS('Bid Data'!$A:$A,D$5,'Bid Data'!$H:$H,$A59,'Bid Data'!$J:$J,$C59,'Bid Data'!$G:$G,"Yes")=0,"",SUMIFS('Bid Data'!$L:$L,'Bid Data'!$A:$A,D$5,'Bid Data'!$H:$H,$A59,'Bid Data'!$J:$J,$C59,'Bid Data'!$G:$G,"Yes"))</f>
        <v/>
      </c>
      <c r="E59" s="14">
        <f>IF(COUNTIFS('Bid Data'!$A:$A,D$5,'Bid Data'!$H:$H,$A59,'Bid Data'!$J:$J,$C59,'Bid Data'!$G:$G,"Yes")=0,"",SUMIFS('Bid Data'!$K:$K,'Bid Data'!$A:$A,D$5,'Bid Data'!$H:$H,$A59,'Bid Data'!$J:$J,$C59,'Bid Data'!$G:$G,"Yes"))</f>
        <v/>
      </c>
      <c r="F59" s="13">
        <f>IF(COUNTIFS('Bid Data'!$A:$A,F$5,'Bid Data'!$H:$H,$A59,'Bid Data'!$J:$J,$C59,'Bid Data'!$G:$G,"Yes")=0,"",SUMIFS('Bid Data'!$L:$L,'Bid Data'!$A:$A,F$5,'Bid Data'!$H:$H,$A59,'Bid Data'!$J:$J,$C59,'Bid Data'!$G:$G,"Yes"))</f>
        <v/>
      </c>
      <c r="G59" s="14">
        <f>IF(COUNTIFS('Bid Data'!$A:$A,F$5,'Bid Data'!$H:$H,$A59,'Bid Data'!$J:$J,$C59,'Bid Data'!$G:$G,"Yes")=0,"",SUMIFS('Bid Data'!$K:$K,'Bid Data'!$A:$A,F$5,'Bid Data'!$H:$H,$A59,'Bid Data'!$J:$J,$C59,'Bid Data'!$G:$G,"Yes"))</f>
        <v/>
      </c>
      <c r="I59" s="13">
        <f>IFERROR(AVERAGEIFS('Bid Data'!$L:$L,'Bid Data'!$H:$H,$A59,'Bid Data'!$J:$J,$C59,'Bid Data'!$G:$G,"Yes",'Bid Data'!$D:$D,"&gt;="&amp;(TODAY()-91)),"")</f>
        <v/>
      </c>
      <c r="J59" s="13">
        <f>IFERROR(AVERAGEIFS('Bid Data'!$L:$L,'Bid Data'!$H:$H,$A59,'Bid Data'!$J:$J,$C59,'Bid Data'!$G:$G,"Yes",'Bid Data'!$D:$D,"&gt;="&amp;(TODAY()-183)),"")</f>
        <v/>
      </c>
      <c r="K59" s="13">
        <f>IFERROR(AVERAGEIFS('Bid Data'!$L:$L,'Bid Data'!$H:$H,$A59,'Bid Data'!$J:$J,$C59,'Bid Data'!$G:$G,"Yes",'Bid Data'!$D:$D,"&gt;="&amp;(TODAY()-365)),"")</f>
        <v/>
      </c>
      <c r="L59" s="13">
        <f>IFERROR(AVERAGEIFS('Bid Data'!$L:$L,'Bid Data'!$H:$H,$A59,'Bid Data'!$J:$J,$C59,'Bid Data'!$G:$G,"Yes"),"")</f>
        <v/>
      </c>
      <c r="M59" s="11">
        <f>COUNTIFS('Bid Data'!$H:$H,$A59,'Bid Data'!$J:$J,$C59,'Bid Data'!$G:$G,"Yes")</f>
        <v/>
      </c>
    </row>
    <row r="60">
      <c r="A60" s="11" t="inlineStr">
        <is>
          <t>P-152-4.6</t>
        </is>
      </c>
      <c r="B60" s="12" t="inlineStr">
        <is>
          <t>TOPSOIL REMOVAL AND STOCKPILE (4-5 INCHES) TO REUSE</t>
        </is>
      </c>
      <c r="C60" s="11" t="inlineStr">
        <is>
          <t>SY</t>
        </is>
      </c>
      <c r="D60" s="13">
        <f>IF(COUNTIFS('Bid Data'!$A:$A,D$5,'Bid Data'!$H:$H,$A60,'Bid Data'!$J:$J,$C60,'Bid Data'!$G:$G,"Yes")=0,"",SUMIFS('Bid Data'!$L:$L,'Bid Data'!$A:$A,D$5,'Bid Data'!$H:$H,$A60,'Bid Data'!$J:$J,$C60,'Bid Data'!$G:$G,"Yes"))</f>
        <v/>
      </c>
      <c r="E60" s="14">
        <f>IF(COUNTIFS('Bid Data'!$A:$A,D$5,'Bid Data'!$H:$H,$A60,'Bid Data'!$J:$J,$C60,'Bid Data'!$G:$G,"Yes")=0,"",SUMIFS('Bid Data'!$K:$K,'Bid Data'!$A:$A,D$5,'Bid Data'!$H:$H,$A60,'Bid Data'!$J:$J,$C60,'Bid Data'!$G:$G,"Yes"))</f>
        <v/>
      </c>
      <c r="F60" s="13">
        <f>IF(COUNTIFS('Bid Data'!$A:$A,F$5,'Bid Data'!$H:$H,$A60,'Bid Data'!$J:$J,$C60,'Bid Data'!$G:$G,"Yes")=0,"",SUMIFS('Bid Data'!$L:$L,'Bid Data'!$A:$A,F$5,'Bid Data'!$H:$H,$A60,'Bid Data'!$J:$J,$C60,'Bid Data'!$G:$G,"Yes"))</f>
        <v/>
      </c>
      <c r="G60" s="14">
        <f>IF(COUNTIFS('Bid Data'!$A:$A,F$5,'Bid Data'!$H:$H,$A60,'Bid Data'!$J:$J,$C60,'Bid Data'!$G:$G,"Yes")=0,"",SUMIFS('Bid Data'!$K:$K,'Bid Data'!$A:$A,F$5,'Bid Data'!$H:$H,$A60,'Bid Data'!$J:$J,$C60,'Bid Data'!$G:$G,"Yes"))</f>
        <v/>
      </c>
      <c r="I60" s="13">
        <f>IFERROR(AVERAGEIFS('Bid Data'!$L:$L,'Bid Data'!$H:$H,$A60,'Bid Data'!$J:$J,$C60,'Bid Data'!$G:$G,"Yes",'Bid Data'!$D:$D,"&gt;="&amp;(TODAY()-91)),"")</f>
        <v/>
      </c>
      <c r="J60" s="13">
        <f>IFERROR(AVERAGEIFS('Bid Data'!$L:$L,'Bid Data'!$H:$H,$A60,'Bid Data'!$J:$J,$C60,'Bid Data'!$G:$G,"Yes",'Bid Data'!$D:$D,"&gt;="&amp;(TODAY()-183)),"")</f>
        <v/>
      </c>
      <c r="K60" s="13">
        <f>IFERROR(AVERAGEIFS('Bid Data'!$L:$L,'Bid Data'!$H:$H,$A60,'Bid Data'!$J:$J,$C60,'Bid Data'!$G:$G,"Yes",'Bid Data'!$D:$D,"&gt;="&amp;(TODAY()-365)),"")</f>
        <v/>
      </c>
      <c r="L60" s="13">
        <f>IFERROR(AVERAGEIFS('Bid Data'!$L:$L,'Bid Data'!$H:$H,$A60,'Bid Data'!$J:$J,$C60,'Bid Data'!$G:$G,"Yes"),"")</f>
        <v/>
      </c>
      <c r="M60" s="11">
        <f>COUNTIFS('Bid Data'!$H:$H,$A60,'Bid Data'!$J:$J,$C60,'Bid Data'!$G:$G,"Yes")</f>
        <v/>
      </c>
    </row>
    <row r="61">
      <c r="A61" s="11" t="inlineStr">
        <is>
          <t>P-602-5.1</t>
        </is>
      </c>
      <c r="B61" s="12" t="inlineStr">
        <is>
          <t>EMULSIFIED ASPHALT PRIME COAT (0.3 GAL/ SY)</t>
        </is>
      </c>
      <c r="C61" s="11" t="inlineStr">
        <is>
          <t>GAL</t>
        </is>
      </c>
      <c r="D61" s="13">
        <f>IF(COUNTIFS('Bid Data'!$A:$A,D$5,'Bid Data'!$H:$H,$A61,'Bid Data'!$J:$J,$C61,'Bid Data'!$G:$G,"Yes")=0,"",SUMIFS('Bid Data'!$L:$L,'Bid Data'!$A:$A,D$5,'Bid Data'!$H:$H,$A61,'Bid Data'!$J:$J,$C61,'Bid Data'!$G:$G,"Yes"))</f>
        <v/>
      </c>
      <c r="E61" s="14">
        <f>IF(COUNTIFS('Bid Data'!$A:$A,D$5,'Bid Data'!$H:$H,$A61,'Bid Data'!$J:$J,$C61,'Bid Data'!$G:$G,"Yes")=0,"",SUMIFS('Bid Data'!$K:$K,'Bid Data'!$A:$A,D$5,'Bid Data'!$H:$H,$A61,'Bid Data'!$J:$J,$C61,'Bid Data'!$G:$G,"Yes"))</f>
        <v/>
      </c>
      <c r="F61" s="13">
        <f>IF(COUNTIFS('Bid Data'!$A:$A,F$5,'Bid Data'!$H:$H,$A61,'Bid Data'!$J:$J,$C61,'Bid Data'!$G:$G,"Yes")=0,"",SUMIFS('Bid Data'!$L:$L,'Bid Data'!$A:$A,F$5,'Bid Data'!$H:$H,$A61,'Bid Data'!$J:$J,$C61,'Bid Data'!$G:$G,"Yes"))</f>
        <v/>
      </c>
      <c r="G61" s="14">
        <f>IF(COUNTIFS('Bid Data'!$A:$A,F$5,'Bid Data'!$H:$H,$A61,'Bid Data'!$J:$J,$C61,'Bid Data'!$G:$G,"Yes")=0,"",SUMIFS('Bid Data'!$K:$K,'Bid Data'!$A:$A,F$5,'Bid Data'!$H:$H,$A61,'Bid Data'!$J:$J,$C61,'Bid Data'!$G:$G,"Yes"))</f>
        <v/>
      </c>
      <c r="I61" s="13">
        <f>IFERROR(AVERAGEIFS('Bid Data'!$L:$L,'Bid Data'!$H:$H,$A61,'Bid Data'!$J:$J,$C61,'Bid Data'!$G:$G,"Yes",'Bid Data'!$D:$D,"&gt;="&amp;(TODAY()-91)),"")</f>
        <v/>
      </c>
      <c r="J61" s="13">
        <f>IFERROR(AVERAGEIFS('Bid Data'!$L:$L,'Bid Data'!$H:$H,$A61,'Bid Data'!$J:$J,$C61,'Bid Data'!$G:$G,"Yes",'Bid Data'!$D:$D,"&gt;="&amp;(TODAY()-183)),"")</f>
        <v/>
      </c>
      <c r="K61" s="13">
        <f>IFERROR(AVERAGEIFS('Bid Data'!$L:$L,'Bid Data'!$H:$H,$A61,'Bid Data'!$J:$J,$C61,'Bid Data'!$G:$G,"Yes",'Bid Data'!$D:$D,"&gt;="&amp;(TODAY()-365)),"")</f>
        <v/>
      </c>
      <c r="L61" s="13">
        <f>IFERROR(AVERAGEIFS('Bid Data'!$L:$L,'Bid Data'!$H:$H,$A61,'Bid Data'!$J:$J,$C61,'Bid Data'!$G:$G,"Yes"),"")</f>
        <v/>
      </c>
      <c r="M61" s="11">
        <f>COUNTIFS('Bid Data'!$H:$H,$A61,'Bid Data'!$J:$J,$C61,'Bid Data'!$G:$G,"Yes")</f>
        <v/>
      </c>
    </row>
    <row r="62">
      <c r="A62" s="11" t="inlineStr">
        <is>
          <t>P-603-5.1</t>
        </is>
      </c>
      <c r="B62" s="12" t="inlineStr">
        <is>
          <t>EMULSIFIED ASPHALT TACK COAT (0.10 GAL/ SY)</t>
        </is>
      </c>
      <c r="C62" s="11" t="inlineStr">
        <is>
          <t>GAL</t>
        </is>
      </c>
      <c r="D62" s="13">
        <f>IF(COUNTIFS('Bid Data'!$A:$A,D$5,'Bid Data'!$H:$H,$A62,'Bid Data'!$J:$J,$C62,'Bid Data'!$G:$G,"Yes")=0,"",SUMIFS('Bid Data'!$L:$L,'Bid Data'!$A:$A,D$5,'Bid Data'!$H:$H,$A62,'Bid Data'!$J:$J,$C62,'Bid Data'!$G:$G,"Yes"))</f>
        <v/>
      </c>
      <c r="E62" s="14">
        <f>IF(COUNTIFS('Bid Data'!$A:$A,D$5,'Bid Data'!$H:$H,$A62,'Bid Data'!$J:$J,$C62,'Bid Data'!$G:$G,"Yes")=0,"",SUMIFS('Bid Data'!$K:$K,'Bid Data'!$A:$A,D$5,'Bid Data'!$H:$H,$A62,'Bid Data'!$J:$J,$C62,'Bid Data'!$G:$G,"Yes"))</f>
        <v/>
      </c>
      <c r="F62" s="13">
        <f>IF(COUNTIFS('Bid Data'!$A:$A,F$5,'Bid Data'!$H:$H,$A62,'Bid Data'!$J:$J,$C62,'Bid Data'!$G:$G,"Yes")=0,"",SUMIFS('Bid Data'!$L:$L,'Bid Data'!$A:$A,F$5,'Bid Data'!$H:$H,$A62,'Bid Data'!$J:$J,$C62,'Bid Data'!$G:$G,"Yes"))</f>
        <v/>
      </c>
      <c r="G62" s="14">
        <f>IF(COUNTIFS('Bid Data'!$A:$A,F$5,'Bid Data'!$H:$H,$A62,'Bid Data'!$J:$J,$C62,'Bid Data'!$G:$G,"Yes")=0,"",SUMIFS('Bid Data'!$K:$K,'Bid Data'!$A:$A,F$5,'Bid Data'!$H:$H,$A62,'Bid Data'!$J:$J,$C62,'Bid Data'!$G:$G,"Yes"))</f>
        <v/>
      </c>
      <c r="I62" s="13">
        <f>IFERROR(AVERAGEIFS('Bid Data'!$L:$L,'Bid Data'!$H:$H,$A62,'Bid Data'!$J:$J,$C62,'Bid Data'!$G:$G,"Yes",'Bid Data'!$D:$D,"&gt;="&amp;(TODAY()-91)),"")</f>
        <v/>
      </c>
      <c r="J62" s="13">
        <f>IFERROR(AVERAGEIFS('Bid Data'!$L:$L,'Bid Data'!$H:$H,$A62,'Bid Data'!$J:$J,$C62,'Bid Data'!$G:$G,"Yes",'Bid Data'!$D:$D,"&gt;="&amp;(TODAY()-183)),"")</f>
        <v/>
      </c>
      <c r="K62" s="13">
        <f>IFERROR(AVERAGEIFS('Bid Data'!$L:$L,'Bid Data'!$H:$H,$A62,'Bid Data'!$J:$J,$C62,'Bid Data'!$G:$G,"Yes",'Bid Data'!$D:$D,"&gt;="&amp;(TODAY()-365)),"")</f>
        <v/>
      </c>
      <c r="L62" s="13">
        <f>IFERROR(AVERAGEIFS('Bid Data'!$L:$L,'Bid Data'!$H:$H,$A62,'Bid Data'!$J:$J,$C62,'Bid Data'!$G:$G,"Yes"),"")</f>
        <v/>
      </c>
      <c r="M62" s="11">
        <f>COUNTIFS('Bid Data'!$H:$H,$A62,'Bid Data'!$J:$J,$C62,'Bid Data'!$G:$G,"Yes")</f>
        <v/>
      </c>
    </row>
    <row r="63">
      <c r="A63" s="11" t="inlineStr">
        <is>
          <t>P-610-6.2</t>
        </is>
      </c>
      <c r="B63" s="12" t="inlineStr">
        <is>
          <t>PREPARE, INSTALL 100- X 10- FOOT THRESHOLD CONCRETE PAD AROUND L-806 LIGHT BASES, COMPLETE IN PLACE</t>
        </is>
      </c>
      <c r="C63" s="11" t="inlineStr">
        <is>
          <t>EA</t>
        </is>
      </c>
      <c r="D63" s="13">
        <f>IF(COUNTIFS('Bid Data'!$A:$A,D$5,'Bid Data'!$H:$H,$A63,'Bid Data'!$J:$J,$C63,'Bid Data'!$G:$G,"Yes")=0,"",SUMIFS('Bid Data'!$L:$L,'Bid Data'!$A:$A,D$5,'Bid Data'!$H:$H,$A63,'Bid Data'!$J:$J,$C63,'Bid Data'!$G:$G,"Yes"))</f>
        <v/>
      </c>
      <c r="E63" s="14">
        <f>IF(COUNTIFS('Bid Data'!$A:$A,D$5,'Bid Data'!$H:$H,$A63,'Bid Data'!$J:$J,$C63,'Bid Data'!$G:$G,"Yes")=0,"",SUMIFS('Bid Data'!$K:$K,'Bid Data'!$A:$A,D$5,'Bid Data'!$H:$H,$A63,'Bid Data'!$J:$J,$C63,'Bid Data'!$G:$G,"Yes"))</f>
        <v/>
      </c>
      <c r="F63" s="13">
        <f>IF(COUNTIFS('Bid Data'!$A:$A,F$5,'Bid Data'!$H:$H,$A63,'Bid Data'!$J:$J,$C63,'Bid Data'!$G:$G,"Yes")=0,"",SUMIFS('Bid Data'!$L:$L,'Bid Data'!$A:$A,F$5,'Bid Data'!$H:$H,$A63,'Bid Data'!$J:$J,$C63,'Bid Data'!$G:$G,"Yes"))</f>
        <v/>
      </c>
      <c r="G63" s="14">
        <f>IF(COUNTIFS('Bid Data'!$A:$A,F$5,'Bid Data'!$H:$H,$A63,'Bid Data'!$J:$J,$C63,'Bid Data'!$G:$G,"Yes")=0,"",SUMIFS('Bid Data'!$K:$K,'Bid Data'!$A:$A,F$5,'Bid Data'!$H:$H,$A63,'Bid Data'!$J:$J,$C63,'Bid Data'!$G:$G,"Yes"))</f>
        <v/>
      </c>
      <c r="I63" s="13">
        <f>IFERROR(AVERAGEIFS('Bid Data'!$L:$L,'Bid Data'!$H:$H,$A63,'Bid Data'!$J:$J,$C63,'Bid Data'!$G:$G,"Yes",'Bid Data'!$D:$D,"&gt;="&amp;(TODAY()-91)),"")</f>
        <v/>
      </c>
      <c r="J63" s="13">
        <f>IFERROR(AVERAGEIFS('Bid Data'!$L:$L,'Bid Data'!$H:$H,$A63,'Bid Data'!$J:$J,$C63,'Bid Data'!$G:$G,"Yes",'Bid Data'!$D:$D,"&gt;="&amp;(TODAY()-183)),"")</f>
        <v/>
      </c>
      <c r="K63" s="13">
        <f>IFERROR(AVERAGEIFS('Bid Data'!$L:$L,'Bid Data'!$H:$H,$A63,'Bid Data'!$J:$J,$C63,'Bid Data'!$G:$G,"Yes",'Bid Data'!$D:$D,"&gt;="&amp;(TODAY()-365)),"")</f>
        <v/>
      </c>
      <c r="L63" s="13">
        <f>IFERROR(AVERAGEIFS('Bid Data'!$L:$L,'Bid Data'!$H:$H,$A63,'Bid Data'!$J:$J,$C63,'Bid Data'!$G:$G,"Yes"),"")</f>
        <v/>
      </c>
      <c r="M63" s="11">
        <f>COUNTIFS('Bid Data'!$H:$H,$A63,'Bid Data'!$J:$J,$C63,'Bid Data'!$G:$G,"Yes")</f>
        <v/>
      </c>
    </row>
    <row r="64">
      <c r="A64" s="11" t="inlineStr">
        <is>
          <t>P-610-6.3</t>
        </is>
      </c>
      <c r="B64" s="12" t="inlineStr">
        <is>
          <t>PREPARE, INSTALL 40- X 10-FOOT DISPLACED THRESHOLD CONCRETE PAD AROUND L-806 LIGHT BASES, COMPLETE IN PLACE</t>
        </is>
      </c>
      <c r="C64" s="11" t="inlineStr">
        <is>
          <t>EA</t>
        </is>
      </c>
      <c r="D64" s="13">
        <f>IF(COUNTIFS('Bid Data'!$A:$A,D$5,'Bid Data'!$H:$H,$A64,'Bid Data'!$J:$J,$C64,'Bid Data'!$G:$G,"Yes")=0,"",SUMIFS('Bid Data'!$L:$L,'Bid Data'!$A:$A,D$5,'Bid Data'!$H:$H,$A64,'Bid Data'!$J:$J,$C64,'Bid Data'!$G:$G,"Yes"))</f>
        <v/>
      </c>
      <c r="E64" s="14">
        <f>IF(COUNTIFS('Bid Data'!$A:$A,D$5,'Bid Data'!$H:$H,$A64,'Bid Data'!$J:$J,$C64,'Bid Data'!$G:$G,"Yes")=0,"",SUMIFS('Bid Data'!$K:$K,'Bid Data'!$A:$A,D$5,'Bid Data'!$H:$H,$A64,'Bid Data'!$J:$J,$C64,'Bid Data'!$G:$G,"Yes"))</f>
        <v/>
      </c>
      <c r="F64" s="13">
        <f>IF(COUNTIFS('Bid Data'!$A:$A,F$5,'Bid Data'!$H:$H,$A64,'Bid Data'!$J:$J,$C64,'Bid Data'!$G:$G,"Yes")=0,"",SUMIFS('Bid Data'!$L:$L,'Bid Data'!$A:$A,F$5,'Bid Data'!$H:$H,$A64,'Bid Data'!$J:$J,$C64,'Bid Data'!$G:$G,"Yes"))</f>
        <v/>
      </c>
      <c r="G64" s="14">
        <f>IF(COUNTIFS('Bid Data'!$A:$A,F$5,'Bid Data'!$H:$H,$A64,'Bid Data'!$J:$J,$C64,'Bid Data'!$G:$G,"Yes")=0,"",SUMIFS('Bid Data'!$K:$K,'Bid Data'!$A:$A,F$5,'Bid Data'!$H:$H,$A64,'Bid Data'!$J:$J,$C64,'Bid Data'!$G:$G,"Yes"))</f>
        <v/>
      </c>
      <c r="I64" s="13">
        <f>IFERROR(AVERAGEIFS('Bid Data'!$L:$L,'Bid Data'!$H:$H,$A64,'Bid Data'!$J:$J,$C64,'Bid Data'!$G:$G,"Yes",'Bid Data'!$D:$D,"&gt;="&amp;(TODAY()-91)),"")</f>
        <v/>
      </c>
      <c r="J64" s="13">
        <f>IFERROR(AVERAGEIFS('Bid Data'!$L:$L,'Bid Data'!$H:$H,$A64,'Bid Data'!$J:$J,$C64,'Bid Data'!$G:$G,"Yes",'Bid Data'!$D:$D,"&gt;="&amp;(TODAY()-183)),"")</f>
        <v/>
      </c>
      <c r="K64" s="13">
        <f>IFERROR(AVERAGEIFS('Bid Data'!$L:$L,'Bid Data'!$H:$H,$A64,'Bid Data'!$J:$J,$C64,'Bid Data'!$G:$G,"Yes",'Bid Data'!$D:$D,"&gt;="&amp;(TODAY()-365)),"")</f>
        <v/>
      </c>
      <c r="L64" s="13">
        <f>IFERROR(AVERAGEIFS('Bid Data'!$L:$L,'Bid Data'!$H:$H,$A64,'Bid Data'!$J:$J,$C64,'Bid Data'!$G:$G,"Yes"),"")</f>
        <v/>
      </c>
      <c r="M64" s="11">
        <f>COUNTIFS('Bid Data'!$H:$H,$A64,'Bid Data'!$J:$J,$C64,'Bid Data'!$G:$G,"Yes")</f>
        <v/>
      </c>
    </row>
    <row r="65">
      <c r="A65" s="11" t="inlineStr">
        <is>
          <t>P-620-5.1a</t>
        </is>
      </c>
      <c r="B65" s="12" t="inlineStr">
        <is>
          <t>SAND BLAST, CLEAN, AND REMARK EXISTING SEGMENTED CIRCLE MARKER SYSTEM, INCLUDING REFLECTIVE MEDIA (BEADS)</t>
        </is>
      </c>
      <c r="C65" s="11" t="inlineStr">
        <is>
          <t>LS</t>
        </is>
      </c>
      <c r="D65" s="13">
        <f>IF(COUNTIFS('Bid Data'!$A:$A,D$5,'Bid Data'!$H:$H,$A65,'Bid Data'!$J:$J,$C65,'Bid Data'!$G:$G,"Yes")=0,"",SUMIFS('Bid Data'!$L:$L,'Bid Data'!$A:$A,D$5,'Bid Data'!$H:$H,$A65,'Bid Data'!$J:$J,$C65,'Bid Data'!$G:$G,"Yes"))</f>
        <v/>
      </c>
      <c r="E65" s="14">
        <f>IF(COUNTIFS('Bid Data'!$A:$A,D$5,'Bid Data'!$H:$H,$A65,'Bid Data'!$J:$J,$C65,'Bid Data'!$G:$G,"Yes")=0,"",SUMIFS('Bid Data'!$K:$K,'Bid Data'!$A:$A,D$5,'Bid Data'!$H:$H,$A65,'Bid Data'!$J:$J,$C65,'Bid Data'!$G:$G,"Yes"))</f>
        <v/>
      </c>
      <c r="F65" s="13">
        <f>IF(COUNTIFS('Bid Data'!$A:$A,F$5,'Bid Data'!$H:$H,$A65,'Bid Data'!$J:$J,$C65,'Bid Data'!$G:$G,"Yes")=0,"",SUMIFS('Bid Data'!$L:$L,'Bid Data'!$A:$A,F$5,'Bid Data'!$H:$H,$A65,'Bid Data'!$J:$J,$C65,'Bid Data'!$G:$G,"Yes"))</f>
        <v/>
      </c>
      <c r="G65" s="14">
        <f>IF(COUNTIFS('Bid Data'!$A:$A,F$5,'Bid Data'!$H:$H,$A65,'Bid Data'!$J:$J,$C65,'Bid Data'!$G:$G,"Yes")=0,"",SUMIFS('Bid Data'!$K:$K,'Bid Data'!$A:$A,F$5,'Bid Data'!$H:$H,$A65,'Bid Data'!$J:$J,$C65,'Bid Data'!$G:$G,"Yes"))</f>
        <v/>
      </c>
      <c r="I65" s="13">
        <f>IFERROR(AVERAGEIFS('Bid Data'!$L:$L,'Bid Data'!$H:$H,$A65,'Bid Data'!$J:$J,$C65,'Bid Data'!$G:$G,"Yes",'Bid Data'!$D:$D,"&gt;="&amp;(TODAY()-91)),"")</f>
        <v/>
      </c>
      <c r="J65" s="13">
        <f>IFERROR(AVERAGEIFS('Bid Data'!$L:$L,'Bid Data'!$H:$H,$A65,'Bid Data'!$J:$J,$C65,'Bid Data'!$G:$G,"Yes",'Bid Data'!$D:$D,"&gt;="&amp;(TODAY()-183)),"")</f>
        <v/>
      </c>
      <c r="K65" s="13">
        <f>IFERROR(AVERAGEIFS('Bid Data'!$L:$L,'Bid Data'!$H:$H,$A65,'Bid Data'!$J:$J,$C65,'Bid Data'!$G:$G,"Yes",'Bid Data'!$D:$D,"&gt;="&amp;(TODAY()-365)),"")</f>
        <v/>
      </c>
      <c r="L65" s="13">
        <f>IFERROR(AVERAGEIFS('Bid Data'!$L:$L,'Bid Data'!$H:$H,$A65,'Bid Data'!$J:$J,$C65,'Bid Data'!$G:$G,"Yes"),"")</f>
        <v/>
      </c>
      <c r="M65" s="11">
        <f>COUNTIFS('Bid Data'!$H:$H,$A65,'Bid Data'!$J:$J,$C65,'Bid Data'!$G:$G,"Yes")</f>
        <v/>
      </c>
    </row>
    <row r="66">
      <c r="A66" s="11" t="inlineStr">
        <is>
          <t>P-620-5.2b</t>
        </is>
      </c>
      <c r="B66" s="12" t="inlineStr">
        <is>
          <t>RUNWAY AND TAXIWAY MARKING INCLUDING REFLECTIVE MEDIA (BEADS)</t>
        </is>
      </c>
      <c r="C66" s="11" t="inlineStr">
        <is>
          <t>SF</t>
        </is>
      </c>
      <c r="D66" s="13">
        <f>IF(COUNTIFS('Bid Data'!$A:$A,D$5,'Bid Data'!$H:$H,$A66,'Bid Data'!$J:$J,$C66,'Bid Data'!$G:$G,"Yes")=0,"",SUMIFS('Bid Data'!$L:$L,'Bid Data'!$A:$A,D$5,'Bid Data'!$H:$H,$A66,'Bid Data'!$J:$J,$C66,'Bid Data'!$G:$G,"Yes"))</f>
        <v/>
      </c>
      <c r="E66" s="14">
        <f>IF(COUNTIFS('Bid Data'!$A:$A,D$5,'Bid Data'!$H:$H,$A66,'Bid Data'!$J:$J,$C66,'Bid Data'!$G:$G,"Yes")=0,"",SUMIFS('Bid Data'!$K:$K,'Bid Data'!$A:$A,D$5,'Bid Data'!$H:$H,$A66,'Bid Data'!$J:$J,$C66,'Bid Data'!$G:$G,"Yes"))</f>
        <v/>
      </c>
      <c r="F66" s="13">
        <f>IF(COUNTIFS('Bid Data'!$A:$A,F$5,'Bid Data'!$H:$H,$A66,'Bid Data'!$J:$J,$C66,'Bid Data'!$G:$G,"Yes")=0,"",SUMIFS('Bid Data'!$L:$L,'Bid Data'!$A:$A,F$5,'Bid Data'!$H:$H,$A66,'Bid Data'!$J:$J,$C66,'Bid Data'!$G:$G,"Yes"))</f>
        <v/>
      </c>
      <c r="G66" s="14">
        <f>IF(COUNTIFS('Bid Data'!$A:$A,F$5,'Bid Data'!$H:$H,$A66,'Bid Data'!$J:$J,$C66,'Bid Data'!$G:$G,"Yes")=0,"",SUMIFS('Bid Data'!$K:$K,'Bid Data'!$A:$A,F$5,'Bid Data'!$H:$H,$A66,'Bid Data'!$J:$J,$C66,'Bid Data'!$G:$G,"Yes"))</f>
        <v/>
      </c>
      <c r="I66" s="13">
        <f>IFERROR(AVERAGEIFS('Bid Data'!$L:$L,'Bid Data'!$H:$H,$A66,'Bid Data'!$J:$J,$C66,'Bid Data'!$G:$G,"Yes",'Bid Data'!$D:$D,"&gt;="&amp;(TODAY()-91)),"")</f>
        <v/>
      </c>
      <c r="J66" s="13">
        <f>IFERROR(AVERAGEIFS('Bid Data'!$L:$L,'Bid Data'!$H:$H,$A66,'Bid Data'!$J:$J,$C66,'Bid Data'!$G:$G,"Yes",'Bid Data'!$D:$D,"&gt;="&amp;(TODAY()-183)),"")</f>
        <v/>
      </c>
      <c r="K66" s="13">
        <f>IFERROR(AVERAGEIFS('Bid Data'!$L:$L,'Bid Data'!$H:$H,$A66,'Bid Data'!$J:$J,$C66,'Bid Data'!$G:$G,"Yes",'Bid Data'!$D:$D,"&gt;="&amp;(TODAY()-365)),"")</f>
        <v/>
      </c>
      <c r="L66" s="13">
        <f>IFERROR(AVERAGEIFS('Bid Data'!$L:$L,'Bid Data'!$H:$H,$A66,'Bid Data'!$J:$J,$C66,'Bid Data'!$G:$G,"Yes"),"")</f>
        <v/>
      </c>
      <c r="M66" s="11">
        <f>COUNTIFS('Bid Data'!$H:$H,$A66,'Bid Data'!$J:$J,$C66,'Bid Data'!$G:$G,"Yes")</f>
        <v/>
      </c>
    </row>
    <row r="67">
      <c r="A67" s="11" t="inlineStr">
        <is>
          <t>T-901-5.1</t>
        </is>
      </c>
      <c r="B67" s="12" t="inlineStr">
        <is>
          <t>SEEDING, FERTILIZING, AND WATERING, COMPLETE</t>
        </is>
      </c>
      <c r="C67" s="11" t="inlineStr">
        <is>
          <t>AC</t>
        </is>
      </c>
      <c r="D67" s="13">
        <f>IF(COUNTIFS('Bid Data'!$A:$A,D$5,'Bid Data'!$H:$H,$A67,'Bid Data'!$J:$J,$C67,'Bid Data'!$G:$G,"Yes")=0,"",SUMIFS('Bid Data'!$L:$L,'Bid Data'!$A:$A,D$5,'Bid Data'!$H:$H,$A67,'Bid Data'!$J:$J,$C67,'Bid Data'!$G:$G,"Yes"))</f>
        <v/>
      </c>
      <c r="E67" s="14">
        <f>IF(COUNTIFS('Bid Data'!$A:$A,D$5,'Bid Data'!$H:$H,$A67,'Bid Data'!$J:$J,$C67,'Bid Data'!$G:$G,"Yes")=0,"",SUMIFS('Bid Data'!$K:$K,'Bid Data'!$A:$A,D$5,'Bid Data'!$H:$H,$A67,'Bid Data'!$J:$J,$C67,'Bid Data'!$G:$G,"Yes"))</f>
        <v/>
      </c>
      <c r="F67" s="13">
        <f>IF(COUNTIFS('Bid Data'!$A:$A,F$5,'Bid Data'!$H:$H,$A67,'Bid Data'!$J:$J,$C67,'Bid Data'!$G:$G,"Yes")=0,"",SUMIFS('Bid Data'!$L:$L,'Bid Data'!$A:$A,F$5,'Bid Data'!$H:$H,$A67,'Bid Data'!$J:$J,$C67,'Bid Data'!$G:$G,"Yes"))</f>
        <v/>
      </c>
      <c r="G67" s="14">
        <f>IF(COUNTIFS('Bid Data'!$A:$A,F$5,'Bid Data'!$H:$H,$A67,'Bid Data'!$J:$J,$C67,'Bid Data'!$G:$G,"Yes")=0,"",SUMIFS('Bid Data'!$K:$K,'Bid Data'!$A:$A,F$5,'Bid Data'!$H:$H,$A67,'Bid Data'!$J:$J,$C67,'Bid Data'!$G:$G,"Yes"))</f>
        <v/>
      </c>
      <c r="I67" s="13">
        <f>IFERROR(AVERAGEIFS('Bid Data'!$L:$L,'Bid Data'!$H:$H,$A67,'Bid Data'!$J:$J,$C67,'Bid Data'!$G:$G,"Yes",'Bid Data'!$D:$D,"&gt;="&amp;(TODAY()-91)),"")</f>
        <v/>
      </c>
      <c r="J67" s="13">
        <f>IFERROR(AVERAGEIFS('Bid Data'!$L:$L,'Bid Data'!$H:$H,$A67,'Bid Data'!$J:$J,$C67,'Bid Data'!$G:$G,"Yes",'Bid Data'!$D:$D,"&gt;="&amp;(TODAY()-183)),"")</f>
        <v/>
      </c>
      <c r="K67" s="13">
        <f>IFERROR(AVERAGEIFS('Bid Data'!$L:$L,'Bid Data'!$H:$H,$A67,'Bid Data'!$J:$J,$C67,'Bid Data'!$G:$G,"Yes",'Bid Data'!$D:$D,"&gt;="&amp;(TODAY()-365)),"")</f>
        <v/>
      </c>
      <c r="L67" s="13">
        <f>IFERROR(AVERAGEIFS('Bid Data'!$L:$L,'Bid Data'!$H:$H,$A67,'Bid Data'!$J:$J,$C67,'Bid Data'!$G:$G,"Yes"),"")</f>
        <v/>
      </c>
      <c r="M67" s="11">
        <f>COUNTIFS('Bid Data'!$H:$H,$A67,'Bid Data'!$J:$J,$C67,'Bid Data'!$G:$G,"Yes")</f>
        <v/>
      </c>
    </row>
    <row r="68">
      <c r="A68" s="11" t="inlineStr">
        <is>
          <t>T-905-5.1</t>
        </is>
      </c>
      <c r="B68" s="12" t="inlineStr">
        <is>
          <t>TOPSOIL , OBTAINED ON SITE, STOCKPILED (4- TO 6-INCH MINIMUM), INCLUDE AMENDMENT, IN PLACE</t>
        </is>
      </c>
      <c r="C68" s="11" t="inlineStr">
        <is>
          <t>SY</t>
        </is>
      </c>
      <c r="D68" s="13">
        <f>IF(COUNTIFS('Bid Data'!$A:$A,D$5,'Bid Data'!$H:$H,$A68,'Bid Data'!$J:$J,$C68,'Bid Data'!$G:$G,"Yes")=0,"",SUMIFS('Bid Data'!$L:$L,'Bid Data'!$A:$A,D$5,'Bid Data'!$H:$H,$A68,'Bid Data'!$J:$J,$C68,'Bid Data'!$G:$G,"Yes"))</f>
        <v/>
      </c>
      <c r="E68" s="14">
        <f>IF(COUNTIFS('Bid Data'!$A:$A,D$5,'Bid Data'!$H:$H,$A68,'Bid Data'!$J:$J,$C68,'Bid Data'!$G:$G,"Yes")=0,"",SUMIFS('Bid Data'!$K:$K,'Bid Data'!$A:$A,D$5,'Bid Data'!$H:$H,$A68,'Bid Data'!$J:$J,$C68,'Bid Data'!$G:$G,"Yes"))</f>
        <v/>
      </c>
      <c r="F68" s="13">
        <f>IF(COUNTIFS('Bid Data'!$A:$A,F$5,'Bid Data'!$H:$H,$A68,'Bid Data'!$J:$J,$C68,'Bid Data'!$G:$G,"Yes")=0,"",SUMIFS('Bid Data'!$L:$L,'Bid Data'!$A:$A,F$5,'Bid Data'!$H:$H,$A68,'Bid Data'!$J:$J,$C68,'Bid Data'!$G:$G,"Yes"))</f>
        <v/>
      </c>
      <c r="G68" s="14">
        <f>IF(COUNTIFS('Bid Data'!$A:$A,F$5,'Bid Data'!$H:$H,$A68,'Bid Data'!$J:$J,$C68,'Bid Data'!$G:$G,"Yes")=0,"",SUMIFS('Bid Data'!$K:$K,'Bid Data'!$A:$A,F$5,'Bid Data'!$H:$H,$A68,'Bid Data'!$J:$J,$C68,'Bid Data'!$G:$G,"Yes"))</f>
        <v/>
      </c>
      <c r="I68" s="13">
        <f>IFERROR(AVERAGEIFS('Bid Data'!$L:$L,'Bid Data'!$H:$H,$A68,'Bid Data'!$J:$J,$C68,'Bid Data'!$G:$G,"Yes",'Bid Data'!$D:$D,"&gt;="&amp;(TODAY()-91)),"")</f>
        <v/>
      </c>
      <c r="J68" s="13">
        <f>IFERROR(AVERAGEIFS('Bid Data'!$L:$L,'Bid Data'!$H:$H,$A68,'Bid Data'!$J:$J,$C68,'Bid Data'!$G:$G,"Yes",'Bid Data'!$D:$D,"&gt;="&amp;(TODAY()-183)),"")</f>
        <v/>
      </c>
      <c r="K68" s="13">
        <f>IFERROR(AVERAGEIFS('Bid Data'!$L:$L,'Bid Data'!$H:$H,$A68,'Bid Data'!$J:$J,$C68,'Bid Data'!$G:$G,"Yes",'Bid Data'!$D:$D,"&gt;="&amp;(TODAY()-365)),"")</f>
        <v/>
      </c>
      <c r="L68" s="13">
        <f>IFERROR(AVERAGEIFS('Bid Data'!$L:$L,'Bid Data'!$H:$H,$A68,'Bid Data'!$J:$J,$C68,'Bid Data'!$G:$G,"Yes"),"")</f>
        <v/>
      </c>
      <c r="M68" s="11">
        <f>COUNTIFS('Bid Data'!$H:$H,$A68,'Bid Data'!$J:$J,$C68,'Bid Data'!$G:$G,"Yes")</f>
        <v/>
      </c>
    </row>
    <row r="69">
      <c r="A69" s="11" t="inlineStr">
        <is>
          <t>TX-100</t>
        </is>
      </c>
      <c r="B69" s="12" t="inlineStr">
        <is>
          <t>PREPARING RIGHT OF WAY</t>
        </is>
      </c>
      <c r="C69" s="11" t="inlineStr">
        <is>
          <t>LS</t>
        </is>
      </c>
      <c r="D69" s="13">
        <f>IF(COUNTIFS('Bid Data'!$A:$A,D$5,'Bid Data'!$H:$H,$A69,'Bid Data'!$J:$J,$C69,'Bid Data'!$G:$G,"Yes")=0,"",SUMIFS('Bid Data'!$L:$L,'Bid Data'!$A:$A,D$5,'Bid Data'!$H:$H,$A69,'Bid Data'!$J:$J,$C69,'Bid Data'!$G:$G,"Yes"))</f>
        <v/>
      </c>
      <c r="E69" s="14">
        <f>IF(COUNTIFS('Bid Data'!$A:$A,D$5,'Bid Data'!$H:$H,$A69,'Bid Data'!$J:$J,$C69,'Bid Data'!$G:$G,"Yes")=0,"",SUMIFS('Bid Data'!$K:$K,'Bid Data'!$A:$A,D$5,'Bid Data'!$H:$H,$A69,'Bid Data'!$J:$J,$C69,'Bid Data'!$G:$G,"Yes"))</f>
        <v/>
      </c>
      <c r="F69" s="13">
        <f>IF(COUNTIFS('Bid Data'!$A:$A,F$5,'Bid Data'!$H:$H,$A69,'Bid Data'!$J:$J,$C69,'Bid Data'!$G:$G,"Yes")=0,"",SUMIFS('Bid Data'!$L:$L,'Bid Data'!$A:$A,F$5,'Bid Data'!$H:$H,$A69,'Bid Data'!$J:$J,$C69,'Bid Data'!$G:$G,"Yes"))</f>
        <v/>
      </c>
      <c r="G69" s="14">
        <f>IF(COUNTIFS('Bid Data'!$A:$A,F$5,'Bid Data'!$H:$H,$A69,'Bid Data'!$J:$J,$C69,'Bid Data'!$G:$G,"Yes")=0,"",SUMIFS('Bid Data'!$K:$K,'Bid Data'!$A:$A,F$5,'Bid Data'!$H:$H,$A69,'Bid Data'!$J:$J,$C69,'Bid Data'!$G:$G,"Yes"))</f>
        <v/>
      </c>
      <c r="I69" s="13">
        <f>IFERROR(AVERAGEIFS('Bid Data'!$L:$L,'Bid Data'!$H:$H,$A69,'Bid Data'!$J:$J,$C69,'Bid Data'!$G:$G,"Yes",'Bid Data'!$D:$D,"&gt;="&amp;(TODAY()-91)),"")</f>
        <v/>
      </c>
      <c r="J69" s="13">
        <f>IFERROR(AVERAGEIFS('Bid Data'!$L:$L,'Bid Data'!$H:$H,$A69,'Bid Data'!$J:$J,$C69,'Bid Data'!$G:$G,"Yes",'Bid Data'!$D:$D,"&gt;="&amp;(TODAY()-183)),"")</f>
        <v/>
      </c>
      <c r="K69" s="13">
        <f>IFERROR(AVERAGEIFS('Bid Data'!$L:$L,'Bid Data'!$H:$H,$A69,'Bid Data'!$J:$J,$C69,'Bid Data'!$G:$G,"Yes",'Bid Data'!$D:$D,"&gt;="&amp;(TODAY()-365)),"")</f>
        <v/>
      </c>
      <c r="L69" s="13">
        <f>IFERROR(AVERAGEIFS('Bid Data'!$L:$L,'Bid Data'!$H:$H,$A69,'Bid Data'!$J:$J,$C69,'Bid Data'!$G:$G,"Yes"),"")</f>
        <v/>
      </c>
      <c r="M69" s="11">
        <f>COUNTIFS('Bid Data'!$H:$H,$A69,'Bid Data'!$J:$J,$C69,'Bid Data'!$G:$G,"Yes")</f>
        <v/>
      </c>
    </row>
    <row r="70">
      <c r="A70" s="11" t="inlineStr">
        <is>
          <t>TX-247-6.1</t>
        </is>
      </c>
      <c r="B70" s="12" t="inlineStr">
        <is>
          <t>GRADE 1-2, TYPE A CRUSHED AGGREGATE BASE COURSE (8-INCH THICKNESS)</t>
        </is>
      </c>
      <c r="C70" s="11" t="inlineStr">
        <is>
          <t>SY</t>
        </is>
      </c>
      <c r="D70" s="13">
        <f>IF(COUNTIFS('Bid Data'!$A:$A,D$5,'Bid Data'!$H:$H,$A70,'Bid Data'!$J:$J,$C70,'Bid Data'!$G:$G,"Yes")=0,"",SUMIFS('Bid Data'!$L:$L,'Bid Data'!$A:$A,D$5,'Bid Data'!$H:$H,$A70,'Bid Data'!$J:$J,$C70,'Bid Data'!$G:$G,"Yes"))</f>
        <v/>
      </c>
      <c r="E70" s="14">
        <f>IF(COUNTIFS('Bid Data'!$A:$A,D$5,'Bid Data'!$H:$H,$A70,'Bid Data'!$J:$J,$C70,'Bid Data'!$G:$G,"Yes")=0,"",SUMIFS('Bid Data'!$K:$K,'Bid Data'!$A:$A,D$5,'Bid Data'!$H:$H,$A70,'Bid Data'!$J:$J,$C70,'Bid Data'!$G:$G,"Yes"))</f>
        <v/>
      </c>
      <c r="F70" s="13">
        <f>IF(COUNTIFS('Bid Data'!$A:$A,F$5,'Bid Data'!$H:$H,$A70,'Bid Data'!$J:$J,$C70,'Bid Data'!$G:$G,"Yes")=0,"",SUMIFS('Bid Data'!$L:$L,'Bid Data'!$A:$A,F$5,'Bid Data'!$H:$H,$A70,'Bid Data'!$J:$J,$C70,'Bid Data'!$G:$G,"Yes"))</f>
        <v/>
      </c>
      <c r="G70" s="14">
        <f>IF(COUNTIFS('Bid Data'!$A:$A,F$5,'Bid Data'!$H:$H,$A70,'Bid Data'!$J:$J,$C70,'Bid Data'!$G:$G,"Yes")=0,"",SUMIFS('Bid Data'!$K:$K,'Bid Data'!$A:$A,F$5,'Bid Data'!$H:$H,$A70,'Bid Data'!$J:$J,$C70,'Bid Data'!$G:$G,"Yes"))</f>
        <v/>
      </c>
      <c r="I70" s="13">
        <f>IFERROR(AVERAGEIFS('Bid Data'!$L:$L,'Bid Data'!$H:$H,$A70,'Bid Data'!$J:$J,$C70,'Bid Data'!$G:$G,"Yes",'Bid Data'!$D:$D,"&gt;="&amp;(TODAY()-91)),"")</f>
        <v/>
      </c>
      <c r="J70" s="13">
        <f>IFERROR(AVERAGEIFS('Bid Data'!$L:$L,'Bid Data'!$H:$H,$A70,'Bid Data'!$J:$J,$C70,'Bid Data'!$G:$G,"Yes",'Bid Data'!$D:$D,"&gt;="&amp;(TODAY()-183)),"")</f>
        <v/>
      </c>
      <c r="K70" s="13">
        <f>IFERROR(AVERAGEIFS('Bid Data'!$L:$L,'Bid Data'!$H:$H,$A70,'Bid Data'!$J:$J,$C70,'Bid Data'!$G:$G,"Yes",'Bid Data'!$D:$D,"&gt;="&amp;(TODAY()-365)),"")</f>
        <v/>
      </c>
      <c r="L70" s="13">
        <f>IFERROR(AVERAGEIFS('Bid Data'!$L:$L,'Bid Data'!$H:$H,$A70,'Bid Data'!$J:$J,$C70,'Bid Data'!$G:$G,"Yes"),"")</f>
        <v/>
      </c>
      <c r="M70" s="11">
        <f>COUNTIFS('Bid Data'!$H:$H,$A70,'Bid Data'!$J:$J,$C70,'Bid Data'!$G:$G,"Yes")</f>
        <v/>
      </c>
    </row>
    <row r="71">
      <c r="A71" s="11" t="inlineStr">
        <is>
          <t>TX-341</t>
        </is>
      </c>
      <c r="B71" s="12" t="inlineStr">
        <is>
          <t>HOT MIX ASPHALT, TYPE D (3- INCH THICKNESS), PLACED IN TWO 1.5-INCH LIFTS</t>
        </is>
      </c>
      <c r="C71" s="11" t="inlineStr">
        <is>
          <t>TON</t>
        </is>
      </c>
      <c r="D71" s="13">
        <f>IF(COUNTIFS('Bid Data'!$A:$A,D$5,'Bid Data'!$H:$H,$A71,'Bid Data'!$J:$J,$C71,'Bid Data'!$G:$G,"Yes")=0,"",SUMIFS('Bid Data'!$L:$L,'Bid Data'!$A:$A,D$5,'Bid Data'!$H:$H,$A71,'Bid Data'!$J:$J,$C71,'Bid Data'!$G:$G,"Yes"))</f>
        <v/>
      </c>
      <c r="E71" s="14">
        <f>IF(COUNTIFS('Bid Data'!$A:$A,D$5,'Bid Data'!$H:$H,$A71,'Bid Data'!$J:$J,$C71,'Bid Data'!$G:$G,"Yes")=0,"",SUMIFS('Bid Data'!$K:$K,'Bid Data'!$A:$A,D$5,'Bid Data'!$H:$H,$A71,'Bid Data'!$J:$J,$C71,'Bid Data'!$G:$G,"Yes"))</f>
        <v/>
      </c>
      <c r="F71" s="13">
        <f>IF(COUNTIFS('Bid Data'!$A:$A,F$5,'Bid Data'!$H:$H,$A71,'Bid Data'!$J:$J,$C71,'Bid Data'!$G:$G,"Yes")=0,"",SUMIFS('Bid Data'!$L:$L,'Bid Data'!$A:$A,F$5,'Bid Data'!$H:$H,$A71,'Bid Data'!$J:$J,$C71,'Bid Data'!$G:$G,"Yes"))</f>
        <v/>
      </c>
      <c r="G71" s="14">
        <f>IF(COUNTIFS('Bid Data'!$A:$A,F$5,'Bid Data'!$H:$H,$A71,'Bid Data'!$J:$J,$C71,'Bid Data'!$G:$G,"Yes")=0,"",SUMIFS('Bid Data'!$K:$K,'Bid Data'!$A:$A,F$5,'Bid Data'!$H:$H,$A71,'Bid Data'!$J:$J,$C71,'Bid Data'!$G:$G,"Yes"))</f>
        <v/>
      </c>
      <c r="I71" s="13">
        <f>IFERROR(AVERAGEIFS('Bid Data'!$L:$L,'Bid Data'!$H:$H,$A71,'Bid Data'!$J:$J,$C71,'Bid Data'!$G:$G,"Yes",'Bid Data'!$D:$D,"&gt;="&amp;(TODAY()-91)),"")</f>
        <v/>
      </c>
      <c r="J71" s="13">
        <f>IFERROR(AVERAGEIFS('Bid Data'!$L:$L,'Bid Data'!$H:$H,$A71,'Bid Data'!$J:$J,$C71,'Bid Data'!$G:$G,"Yes",'Bid Data'!$D:$D,"&gt;="&amp;(TODAY()-183)),"")</f>
        <v/>
      </c>
      <c r="K71" s="13">
        <f>IFERROR(AVERAGEIFS('Bid Data'!$L:$L,'Bid Data'!$H:$H,$A71,'Bid Data'!$J:$J,$C71,'Bid Data'!$G:$G,"Yes",'Bid Data'!$D:$D,"&gt;="&amp;(TODAY()-365)),"")</f>
        <v/>
      </c>
      <c r="L71" s="13">
        <f>IFERROR(AVERAGEIFS('Bid Data'!$L:$L,'Bid Data'!$H:$H,$A71,'Bid Data'!$J:$J,$C71,'Bid Data'!$G:$G,"Yes"),"")</f>
        <v/>
      </c>
      <c r="M71" s="11">
        <f>COUNTIFS('Bid Data'!$H:$H,$A71,'Bid Data'!$J:$J,$C71,'Bid Data'!$G:$G,"Yes")</f>
        <v/>
      </c>
    </row>
    <row r="72">
      <c r="A72" s="11" t="inlineStr">
        <is>
          <t>TX-506</t>
        </is>
      </c>
      <c r="B72" s="12" t="inlineStr">
        <is>
          <t>MISCELLANEOUS EROSION CONTROL</t>
        </is>
      </c>
      <c r="C72" s="11" t="inlineStr">
        <is>
          <t>LS</t>
        </is>
      </c>
      <c r="D72" s="13">
        <f>IF(COUNTIFS('Bid Data'!$A:$A,D$5,'Bid Data'!$H:$H,$A72,'Bid Data'!$J:$J,$C72,'Bid Data'!$G:$G,"Yes")=0,"",SUMIFS('Bid Data'!$L:$L,'Bid Data'!$A:$A,D$5,'Bid Data'!$H:$H,$A72,'Bid Data'!$J:$J,$C72,'Bid Data'!$G:$G,"Yes"))</f>
        <v/>
      </c>
      <c r="E72" s="14">
        <f>IF(COUNTIFS('Bid Data'!$A:$A,D$5,'Bid Data'!$H:$H,$A72,'Bid Data'!$J:$J,$C72,'Bid Data'!$G:$G,"Yes")=0,"",SUMIFS('Bid Data'!$K:$K,'Bid Data'!$A:$A,D$5,'Bid Data'!$H:$H,$A72,'Bid Data'!$J:$J,$C72,'Bid Data'!$G:$G,"Yes"))</f>
        <v/>
      </c>
      <c r="F72" s="13">
        <f>IF(COUNTIFS('Bid Data'!$A:$A,F$5,'Bid Data'!$H:$H,$A72,'Bid Data'!$J:$J,$C72,'Bid Data'!$G:$G,"Yes")=0,"",SUMIFS('Bid Data'!$L:$L,'Bid Data'!$A:$A,F$5,'Bid Data'!$H:$H,$A72,'Bid Data'!$J:$J,$C72,'Bid Data'!$G:$G,"Yes"))</f>
        <v/>
      </c>
      <c r="G72" s="14">
        <f>IF(COUNTIFS('Bid Data'!$A:$A,F$5,'Bid Data'!$H:$H,$A72,'Bid Data'!$J:$J,$C72,'Bid Data'!$G:$G,"Yes")=0,"",SUMIFS('Bid Data'!$K:$K,'Bid Data'!$A:$A,F$5,'Bid Data'!$H:$H,$A72,'Bid Data'!$J:$J,$C72,'Bid Data'!$G:$G,"Yes"))</f>
        <v/>
      </c>
      <c r="I72" s="13">
        <f>IFERROR(AVERAGEIFS('Bid Data'!$L:$L,'Bid Data'!$H:$H,$A72,'Bid Data'!$J:$J,$C72,'Bid Data'!$G:$G,"Yes",'Bid Data'!$D:$D,"&gt;="&amp;(TODAY()-91)),"")</f>
        <v/>
      </c>
      <c r="J72" s="13">
        <f>IFERROR(AVERAGEIFS('Bid Data'!$L:$L,'Bid Data'!$H:$H,$A72,'Bid Data'!$J:$J,$C72,'Bid Data'!$G:$G,"Yes",'Bid Data'!$D:$D,"&gt;="&amp;(TODAY()-183)),"")</f>
        <v/>
      </c>
      <c r="K72" s="13">
        <f>IFERROR(AVERAGEIFS('Bid Data'!$L:$L,'Bid Data'!$H:$H,$A72,'Bid Data'!$J:$J,$C72,'Bid Data'!$G:$G,"Yes",'Bid Data'!$D:$D,"&gt;="&amp;(TODAY()-365)),"")</f>
        <v/>
      </c>
      <c r="L72" s="13">
        <f>IFERROR(AVERAGEIFS('Bid Data'!$L:$L,'Bid Data'!$H:$H,$A72,'Bid Data'!$J:$J,$C72,'Bid Data'!$G:$G,"Yes"),"")</f>
        <v/>
      </c>
      <c r="M72" s="11">
        <f>COUNTIFS('Bid Data'!$H:$H,$A72,'Bid Data'!$J:$J,$C72,'Bid Data'!$G:$G,"Yes")</f>
        <v/>
      </c>
    </row>
  </sheetData>
  <mergeCells count="22">
    <mergeCell ref="F4:G4"/>
    <mergeCell ref="D10:E10"/>
    <mergeCell ref="F10:G10"/>
    <mergeCell ref="F6:G6"/>
    <mergeCell ref="F7:G7"/>
    <mergeCell ref="D6:E6"/>
    <mergeCell ref="A5:C5"/>
    <mergeCell ref="A8:C8"/>
    <mergeCell ref="F5:G5"/>
    <mergeCell ref="A4:C4"/>
    <mergeCell ref="F8:G8"/>
    <mergeCell ref="A10:C10"/>
    <mergeCell ref="D7:E7"/>
    <mergeCell ref="A9:C9"/>
    <mergeCell ref="D4:E4"/>
    <mergeCell ref="D9:E9"/>
    <mergeCell ref="F9:G9"/>
    <mergeCell ref="D8:E8"/>
    <mergeCell ref="A6:C6"/>
    <mergeCell ref="D5:E5"/>
    <mergeCell ref="I10:M10"/>
    <mergeCell ref="A7:C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4" customWidth="1" min="4" max="4"/>
    <col width="44" customWidth="1" min="5" max="5"/>
    <col width="12" customWidth="1" min="6" max="6"/>
    <col width="14" customWidth="1" min="7" max="7"/>
    <col width="12" customWidth="1" min="8" max="8"/>
    <col width="12" customWidth="1" min="9" max="9"/>
    <col width="32" customWidth="1" min="10" max="10"/>
    <col width="16" customWidth="1" min="11" max="11"/>
    <col width="18" customWidth="1" min="12" max="12"/>
    <col width="60" customWidth="1" min="13" max="13"/>
    <col width="17" customWidth="1" min="14" max="14"/>
  </cols>
  <sheetData>
    <row r="1">
      <c r="A1" s="15" t="inlineStr">
        <is>
          <t>Project ID</t>
        </is>
      </c>
      <c r="B1" s="15" t="inlineStr">
        <is>
          <t>Airport</t>
        </is>
      </c>
      <c r="C1" s="15" t="inlineStr">
        <is>
          <t>CSJ</t>
        </is>
      </c>
      <c r="D1" s="15" t="inlineStr">
        <is>
          <t>Scope</t>
        </is>
      </c>
      <c r="E1" s="15" t="inlineStr">
        <is>
          <t>Description</t>
        </is>
      </c>
      <c r="F1" s="15" t="inlineStr">
        <is>
          <t>Bid Date</t>
        </is>
      </c>
      <c r="G1" s="15" t="inlineStr">
        <is>
          <t>Location</t>
        </is>
      </c>
      <c r="H1" s="15" t="inlineStr">
        <is>
          <t>Region</t>
        </is>
      </c>
      <c r="I1" s="15" t="inlineStr">
        <is>
          <t>Bidders</t>
        </is>
      </c>
      <c r="J1" s="15" t="inlineStr">
        <is>
          <t>Low Bidder</t>
        </is>
      </c>
      <c r="K1" s="15" t="inlineStr">
        <is>
          <t>Low Bid</t>
        </is>
      </c>
      <c r="L1" s="15" t="inlineStr">
        <is>
          <t>Price Age</t>
        </is>
      </c>
      <c r="M1" s="15" t="inlineStr">
        <is>
          <t>Source PDF</t>
        </is>
      </c>
      <c r="N1" s="15" t="inlineStr">
        <is>
          <t>Last Updated</t>
        </is>
      </c>
    </row>
    <row r="2">
      <c r="A2" s="16" t="inlineStr">
        <is>
          <t>NTB2614LHART00034</t>
        </is>
      </c>
      <c r="B2" s="16" t="inlineStr">
        <is>
          <t>Lockhart Municipal Airport</t>
        </is>
      </c>
      <c r="C2" s="16" t="inlineStr">
        <is>
          <t>2614LHART</t>
        </is>
      </c>
      <c r="D2" s="16" t="inlineStr">
        <is>
          <t>Fencing</t>
        </is>
      </c>
      <c r="E2" s="16" t="inlineStr">
        <is>
          <t>WILDLIFE FENCING AND GATES</t>
        </is>
      </c>
      <c r="F2" s="17" t="n">
        <v>46302.54166666666</v>
      </c>
      <c r="G2" s="16" t="inlineStr">
        <is>
          <t>Stassney</t>
        </is>
      </c>
      <c r="H2" s="18" t="n"/>
      <c r="I2" s="16" t="n">
        <v>3</v>
      </c>
      <c r="J2" s="16" t="inlineStr">
        <is>
          <t>Delta Specialty Contractors LLC</t>
        </is>
      </c>
      <c r="K2" s="19" t="n">
        <v>686695</v>
      </c>
      <c r="L2" s="16">
        <f>IF(F2="","",IF(TODAY()-F2&lt;=91,"Last quarter",IF(TODAY()-F2&lt;=183,"Last 6 months",IF(TODAY()-F2&lt;=365,"Last year","Older than 1 year"))))</f>
        <v/>
      </c>
      <c r="M2" s="16" t="inlineStr">
        <is>
          <t>https://www.dot.state.tx.us/AVN/avninfo/status/construct/ntb2614lhart00034br.pdf</t>
        </is>
      </c>
      <c r="N2" s="20" t="n">
        <v>46314.67934027778</v>
      </c>
    </row>
    <row r="3">
      <c r="A3" s="16" t="inlineStr">
        <is>
          <t>NTB2521ZAPAT00053</t>
        </is>
      </c>
      <c r="B3" s="16" t="inlineStr">
        <is>
          <t>Zapata County Airport</t>
        </is>
      </c>
      <c r="C3" s="16" t="inlineStr">
        <is>
          <t>2521ZAPAT</t>
        </is>
      </c>
      <c r="D3" s="16" t="inlineStr">
        <is>
          <t>Airfield Pavement and Electrical Improvements</t>
        </is>
      </c>
      <c r="E3" s="16" t="inlineStr">
        <is>
          <t>Zapata County Airport (APY) Airfield Pavement and Electrical Improvements</t>
        </is>
      </c>
      <c r="F3" s="17" t="n">
        <v>46309.54166666666</v>
      </c>
      <c r="G3" s="16" t="inlineStr">
        <is>
          <t>TxDOT Stassney Campus</t>
        </is>
      </c>
      <c r="H3" s="18" t="n"/>
      <c r="I3" s="16" t="n">
        <v>3</v>
      </c>
      <c r="J3" s="16" t="inlineStr">
        <is>
          <t>Anderson Columbia Company, Inc.</t>
        </is>
      </c>
      <c r="K3" s="19" t="n">
        <v>5660055</v>
      </c>
      <c r="L3" s="16">
        <f>IF(F3="","",IF(TODAY()-F3&lt;=91,"Last quarter",IF(TODAY()-F3&lt;=183,"Last 6 months",IF(TODAY()-F3&lt;=365,"Last year","Older than 1 year"))))</f>
        <v/>
      </c>
      <c r="M3" s="16" t="inlineStr">
        <is>
          <t>https://www.dot.state.tx.us/AVN/avninfo/status/construct/ntb2521zapat00053br1.pdf</t>
        </is>
      </c>
      <c r="N3" s="20" t="n">
        <v>46314.68194444444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  <col width="32" customWidth="1" min="5" max="5"/>
    <col width="12" customWidth="1" min="6" max="6"/>
    <col width="16" customWidth="1" min="7" max="7"/>
    <col width="12" customWidth="1" min="8" max="8"/>
    <col width="44" customWidth="1" min="9" max="9"/>
    <col width="12" customWidth="1" min="10" max="10"/>
    <col width="12" customWidth="1" min="11" max="11"/>
    <col width="14" customWidth="1" min="12" max="12"/>
    <col width="16" customWidth="1" min="13" max="13"/>
    <col width="12" customWidth="1" min="14" max="14"/>
  </cols>
  <sheetData>
    <row r="1">
      <c r="A1" s="15" t="inlineStr">
        <is>
          <t>Project ID</t>
        </is>
      </c>
      <c r="B1" s="15" t="inlineStr">
        <is>
          <t>Airport</t>
        </is>
      </c>
      <c r="C1" s="15" t="inlineStr">
        <is>
          <t>CSJ</t>
        </is>
      </c>
      <c r="D1" s="15" t="inlineStr">
        <is>
          <t>Bid Date</t>
        </is>
      </c>
      <c r="E1" s="15" t="inlineStr">
        <is>
          <t>Bidder</t>
        </is>
      </c>
      <c r="F1" s="15" t="inlineStr">
        <is>
          <t>Bid Rank</t>
        </is>
      </c>
      <c r="G1" s="15" t="inlineStr">
        <is>
          <t>Low Bid</t>
        </is>
      </c>
      <c r="H1" s="15" t="inlineStr">
        <is>
          <t>Item</t>
        </is>
      </c>
      <c r="I1" s="15" t="inlineStr">
        <is>
          <t>Description</t>
        </is>
      </c>
      <c r="J1" s="15" t="inlineStr">
        <is>
          <t>Unit</t>
        </is>
      </c>
      <c r="K1" s="15" t="inlineStr">
        <is>
          <t>Qty</t>
        </is>
      </c>
      <c r="L1" s="15" t="inlineStr">
        <is>
          <t>Unit Price</t>
        </is>
      </c>
      <c r="M1" s="15" t="inlineStr">
        <is>
          <t>Total</t>
        </is>
      </c>
      <c r="N1" s="15" t="inlineStr">
        <is>
          <t>Verified</t>
        </is>
      </c>
    </row>
    <row r="2">
      <c r="A2" s="16" t="inlineStr">
        <is>
          <t>NTB2614LHART00034</t>
        </is>
      </c>
      <c r="B2" s="16" t="inlineStr">
        <is>
          <t>Lockhart Municipal Airport</t>
        </is>
      </c>
      <c r="C2" s="16" t="inlineStr">
        <is>
          <t>2614LHART</t>
        </is>
      </c>
      <c r="D2" s="17" t="n">
        <v>46302.54166666666</v>
      </c>
      <c r="E2" s="16" t="inlineStr">
        <is>
          <t>Delta Specialty Contractors LLC</t>
        </is>
      </c>
      <c r="F2" s="16" t="n">
        <v>1</v>
      </c>
      <c r="G2" s="19" t="inlineStr">
        <is>
          <t>Yes</t>
        </is>
      </c>
      <c r="H2" s="16" t="inlineStr">
        <is>
          <t>C-105</t>
        </is>
      </c>
      <c r="I2" s="16" t="inlineStr">
        <is>
          <t>MOBILIZATION</t>
        </is>
      </c>
      <c r="J2" s="16" t="inlineStr">
        <is>
          <t>LS</t>
        </is>
      </c>
      <c r="K2" s="21" t="n">
        <v>1</v>
      </c>
      <c r="L2" s="19" t="n">
        <v>14000</v>
      </c>
      <c r="M2" s="19" t="n">
        <v>14000</v>
      </c>
      <c r="N2" s="16" t="inlineStr">
        <is>
          <t>Yes</t>
        </is>
      </c>
    </row>
    <row r="3">
      <c r="A3" s="16" t="inlineStr">
        <is>
          <t>NTB2614LHART00034</t>
        </is>
      </c>
      <c r="B3" s="16" t="inlineStr">
        <is>
          <t>Lockhart Municipal Airport</t>
        </is>
      </c>
      <c r="C3" s="16" t="inlineStr">
        <is>
          <t>2614LHART</t>
        </is>
      </c>
      <c r="D3" s="17" t="n">
        <v>46302.54166666666</v>
      </c>
      <c r="E3" s="16" t="inlineStr">
        <is>
          <t>Delta Specialty Contractors LLC</t>
        </is>
      </c>
      <c r="F3" s="16" t="n">
        <v>1</v>
      </c>
      <c r="G3" s="19" t="inlineStr">
        <is>
          <t>Yes</t>
        </is>
      </c>
      <c r="H3" s="16" t="inlineStr">
        <is>
          <t>TX-100</t>
        </is>
      </c>
      <c r="I3" s="16" t="inlineStr">
        <is>
          <t>PREPARING RIGHT OF WAY</t>
        </is>
      </c>
      <c r="J3" s="16" t="inlineStr">
        <is>
          <t>LS</t>
        </is>
      </c>
      <c r="K3" s="21" t="n">
        <v>1</v>
      </c>
      <c r="L3" s="19" t="n">
        <v>12500</v>
      </c>
      <c r="M3" s="19" t="n">
        <v>12500</v>
      </c>
      <c r="N3" s="16" t="inlineStr">
        <is>
          <t>Yes</t>
        </is>
      </c>
    </row>
    <row r="4">
      <c r="A4" s="16" t="inlineStr">
        <is>
          <t>NTB2614LHART00034</t>
        </is>
      </c>
      <c r="B4" s="16" t="inlineStr">
        <is>
          <t>Lockhart Municipal Airport</t>
        </is>
      </c>
      <c r="C4" s="16" t="inlineStr">
        <is>
          <t>2614LHART</t>
        </is>
      </c>
      <c r="D4" s="17" t="n">
        <v>46302.54166666666</v>
      </c>
      <c r="E4" s="16" t="inlineStr">
        <is>
          <t>Delta Specialty Contractors LLC</t>
        </is>
      </c>
      <c r="F4" s="16" t="n">
        <v>1</v>
      </c>
      <c r="G4" s="19" t="inlineStr">
        <is>
          <t>Yes</t>
        </is>
      </c>
      <c r="H4" s="16" t="inlineStr">
        <is>
          <t>F-164.1</t>
        </is>
      </c>
      <c r="I4" s="16" t="inlineStr">
        <is>
          <t>REMOVE EXISTING FENCE AND GATES</t>
        </is>
      </c>
      <c r="J4" s="16" t="inlineStr">
        <is>
          <t>LF</t>
        </is>
      </c>
      <c r="K4" s="21" t="n">
        <v>18750</v>
      </c>
      <c r="L4" s="19" t="n">
        <v>1.5</v>
      </c>
      <c r="M4" s="19" t="n">
        <v>28125</v>
      </c>
      <c r="N4" s="16" t="inlineStr">
        <is>
          <t>Yes</t>
        </is>
      </c>
    </row>
    <row r="5">
      <c r="A5" s="16" t="inlineStr">
        <is>
          <t>NTB2614LHART00034</t>
        </is>
      </c>
      <c r="B5" s="16" t="inlineStr">
        <is>
          <t>Lockhart Municipal Airport</t>
        </is>
      </c>
      <c r="C5" s="16" t="inlineStr">
        <is>
          <t>2614LHART</t>
        </is>
      </c>
      <c r="D5" s="17" t="n">
        <v>46302.54166666666</v>
      </c>
      <c r="E5" s="16" t="inlineStr">
        <is>
          <t>Delta Specialty Contractors LLC</t>
        </is>
      </c>
      <c r="F5" s="16" t="n">
        <v>1</v>
      </c>
      <c r="G5" s="19" t="inlineStr">
        <is>
          <t>Yes</t>
        </is>
      </c>
      <c r="H5" s="16" t="inlineStr">
        <is>
          <t>F-164.2</t>
        </is>
      </c>
      <c r="I5" s="16" t="inlineStr">
        <is>
          <t>INSTALL 8 FT TALL GAME FENCING</t>
        </is>
      </c>
      <c r="J5" s="16" t="inlineStr">
        <is>
          <t>LF</t>
        </is>
      </c>
      <c r="K5" s="21" t="n">
        <v>17730</v>
      </c>
      <c r="L5" s="19" t="n">
        <v>21</v>
      </c>
      <c r="M5" s="19" t="n">
        <v>372330</v>
      </c>
      <c r="N5" s="16" t="inlineStr">
        <is>
          <t>Yes</t>
        </is>
      </c>
    </row>
    <row r="6">
      <c r="A6" s="16" t="inlineStr">
        <is>
          <t>NTB2614LHART00034</t>
        </is>
      </c>
      <c r="B6" s="16" t="inlineStr">
        <is>
          <t>Lockhart Municipal Airport</t>
        </is>
      </c>
      <c r="C6" s="16" t="inlineStr">
        <is>
          <t>2614LHART</t>
        </is>
      </c>
      <c r="D6" s="17" t="n">
        <v>46302.54166666666</v>
      </c>
      <c r="E6" s="16" t="inlineStr">
        <is>
          <t>Delta Specialty Contractors LLC</t>
        </is>
      </c>
      <c r="F6" s="16" t="n">
        <v>1</v>
      </c>
      <c r="G6" s="19" t="inlineStr">
        <is>
          <t>Yes</t>
        </is>
      </c>
      <c r="H6" s="16" t="inlineStr">
        <is>
          <t>F-164.3a</t>
        </is>
      </c>
      <c r="I6" s="16" t="inlineStr">
        <is>
          <t>INSTALL NEW AUTOMATED GATE AND ASSOCIATED ELECTRICAL</t>
        </is>
      </c>
      <c r="J6" s="16" t="inlineStr">
        <is>
          <t>EA</t>
        </is>
      </c>
      <c r="K6" s="21" t="n">
        <v>1</v>
      </c>
      <c r="L6" s="19" t="n">
        <v>29500</v>
      </c>
      <c r="M6" s="19" t="n">
        <v>29500</v>
      </c>
      <c r="N6" s="16" t="inlineStr">
        <is>
          <t>Yes</t>
        </is>
      </c>
    </row>
    <row r="7">
      <c r="A7" s="16" t="inlineStr">
        <is>
          <t>NTB2614LHART00034</t>
        </is>
      </c>
      <c r="B7" s="16" t="inlineStr">
        <is>
          <t>Lockhart Municipal Airport</t>
        </is>
      </c>
      <c r="C7" s="16" t="inlineStr">
        <is>
          <t>2614LHART</t>
        </is>
      </c>
      <c r="D7" s="17" t="n">
        <v>46302.54166666666</v>
      </c>
      <c r="E7" s="16" t="inlineStr">
        <is>
          <t>Delta Specialty Contractors LLC</t>
        </is>
      </c>
      <c r="F7" s="16" t="n">
        <v>1</v>
      </c>
      <c r="G7" s="19" t="inlineStr">
        <is>
          <t>Yes</t>
        </is>
      </c>
      <c r="H7" s="16" t="inlineStr">
        <is>
          <t>F-164.3b</t>
        </is>
      </c>
      <c r="I7" s="16" t="inlineStr">
        <is>
          <t>INSTALL 16' SWING GATE</t>
        </is>
      </c>
      <c r="J7" s="16" t="inlineStr">
        <is>
          <t>EA</t>
        </is>
      </c>
      <c r="K7" s="21" t="n">
        <v>3</v>
      </c>
      <c r="L7" s="19" t="n">
        <v>2250</v>
      </c>
      <c r="M7" s="19" t="n">
        <v>6750</v>
      </c>
      <c r="N7" s="16" t="inlineStr">
        <is>
          <t>Yes</t>
        </is>
      </c>
    </row>
    <row r="8">
      <c r="A8" s="16" t="inlineStr">
        <is>
          <t>NTB2614LHART00034</t>
        </is>
      </c>
      <c r="B8" s="16" t="inlineStr">
        <is>
          <t>Lockhart Municipal Airport</t>
        </is>
      </c>
      <c r="C8" s="16" t="inlineStr">
        <is>
          <t>2614LHART</t>
        </is>
      </c>
      <c r="D8" s="17" t="n">
        <v>46302.54166666666</v>
      </c>
      <c r="E8" s="16" t="inlineStr">
        <is>
          <t>Delta Specialty Contractors LLC</t>
        </is>
      </c>
      <c r="F8" s="16" t="n">
        <v>1</v>
      </c>
      <c r="G8" s="19" t="inlineStr">
        <is>
          <t>Yes</t>
        </is>
      </c>
      <c r="H8" s="16" t="inlineStr">
        <is>
          <t>F-164.3c</t>
        </is>
      </c>
      <c r="I8" s="16" t="inlineStr">
        <is>
          <t>INSTALL PEDESTRIAN GATE</t>
        </is>
      </c>
      <c r="J8" s="16" t="inlineStr">
        <is>
          <t>EA</t>
        </is>
      </c>
      <c r="K8" s="21" t="n">
        <v>1</v>
      </c>
      <c r="L8" s="19" t="n">
        <v>1850</v>
      </c>
      <c r="M8" s="19" t="n">
        <v>1850</v>
      </c>
      <c r="N8" s="16" t="inlineStr">
        <is>
          <t>Yes</t>
        </is>
      </c>
    </row>
    <row r="9">
      <c r="A9" s="16" t="inlineStr">
        <is>
          <t>NTB2614LHART00034</t>
        </is>
      </c>
      <c r="B9" s="16" t="inlineStr">
        <is>
          <t>Lockhart Municipal Airport</t>
        </is>
      </c>
      <c r="C9" s="16" t="inlineStr">
        <is>
          <t>2614LHART</t>
        </is>
      </c>
      <c r="D9" s="17" t="n">
        <v>46302.54166666666</v>
      </c>
      <c r="E9" s="16" t="inlineStr">
        <is>
          <t>Delta Specialty Contractors LLC</t>
        </is>
      </c>
      <c r="F9" s="16" t="n">
        <v>1</v>
      </c>
      <c r="G9" s="19" t="inlineStr">
        <is>
          <t>Yes</t>
        </is>
      </c>
      <c r="H9" s="16" t="inlineStr">
        <is>
          <t>F-164.4</t>
        </is>
      </c>
      <c r="I9" s="16" t="inlineStr">
        <is>
          <t>INSTALL PREDATOR APRON</t>
        </is>
      </c>
      <c r="J9" s="16" t="inlineStr">
        <is>
          <t>LF</t>
        </is>
      </c>
      <c r="K9" s="21" t="n">
        <v>17630</v>
      </c>
      <c r="L9" s="19" t="n">
        <v>3</v>
      </c>
      <c r="M9" s="19" t="n">
        <v>52890</v>
      </c>
      <c r="N9" s="16" t="inlineStr">
        <is>
          <t>Yes</t>
        </is>
      </c>
    </row>
    <row r="10">
      <c r="A10" s="16" t="inlineStr">
        <is>
          <t>NTB2614LHART00034</t>
        </is>
      </c>
      <c r="B10" s="16" t="inlineStr">
        <is>
          <t>Lockhart Municipal Airport</t>
        </is>
      </c>
      <c r="C10" s="16" t="inlineStr">
        <is>
          <t>2614LHART</t>
        </is>
      </c>
      <c r="D10" s="17" t="n">
        <v>46302.54166666666</v>
      </c>
      <c r="E10" s="16" t="inlineStr">
        <is>
          <t>Delta Specialty Contractors LLC</t>
        </is>
      </c>
      <c r="F10" s="16" t="n">
        <v>1</v>
      </c>
      <c r="G10" s="19" t="inlineStr">
        <is>
          <t>Yes</t>
        </is>
      </c>
      <c r="H10" s="16" t="inlineStr">
        <is>
          <t>F-164.5</t>
        </is>
      </c>
      <c r="I10" s="16" t="inlineStr">
        <is>
          <t>INSTALL WATER GAP</t>
        </is>
      </c>
      <c r="J10" s="16" t="inlineStr">
        <is>
          <t>EA</t>
        </is>
      </c>
      <c r="K10" s="21" t="n">
        <v>3</v>
      </c>
      <c r="L10" s="19" t="n">
        <v>47500</v>
      </c>
      <c r="M10" s="19" t="n">
        <v>142500</v>
      </c>
      <c r="N10" s="16" t="inlineStr">
        <is>
          <t>Yes</t>
        </is>
      </c>
    </row>
    <row r="11">
      <c r="A11" s="16" t="inlineStr">
        <is>
          <t>NTB2614LHART00034</t>
        </is>
      </c>
      <c r="B11" s="16" t="inlineStr">
        <is>
          <t>Lockhart Municipal Airport</t>
        </is>
      </c>
      <c r="C11" s="16" t="inlineStr">
        <is>
          <t>2614LHART</t>
        </is>
      </c>
      <c r="D11" s="17" t="n">
        <v>46302.54166666666</v>
      </c>
      <c r="E11" s="16" t="inlineStr">
        <is>
          <t>Delta Specialty Contractors LLC</t>
        </is>
      </c>
      <c r="F11" s="16" t="n">
        <v>1</v>
      </c>
      <c r="G11" s="19" t="inlineStr">
        <is>
          <t>Yes</t>
        </is>
      </c>
      <c r="H11" s="16" t="inlineStr">
        <is>
          <t>L-125</t>
        </is>
      </c>
      <c r="I11" s="16" t="inlineStr">
        <is>
          <t>INSTALL SOLAR POWERED OBSTRUCTION LIGHT, COMPLETE</t>
        </is>
      </c>
      <c r="J11" s="16" t="inlineStr">
        <is>
          <t>EA</t>
        </is>
      </c>
      <c r="K11" s="21" t="n">
        <v>5</v>
      </c>
      <c r="L11" s="19" t="n">
        <v>2850</v>
      </c>
      <c r="M11" s="19" t="n">
        <v>14250</v>
      </c>
      <c r="N11" s="16" t="inlineStr">
        <is>
          <t>Yes</t>
        </is>
      </c>
    </row>
    <row r="12">
      <c r="A12" s="16" t="inlineStr">
        <is>
          <t>NTB2614LHART00034</t>
        </is>
      </c>
      <c r="B12" s="16" t="inlineStr">
        <is>
          <t>Lockhart Municipal Airport</t>
        </is>
      </c>
      <c r="C12" s="16" t="inlineStr">
        <is>
          <t>2614LHART</t>
        </is>
      </c>
      <c r="D12" s="17" t="n">
        <v>46302.54166666666</v>
      </c>
      <c r="E12" s="16" t="inlineStr">
        <is>
          <t>Delta Specialty Contractors LLC</t>
        </is>
      </c>
      <c r="F12" s="16" t="n">
        <v>1</v>
      </c>
      <c r="G12" s="19" t="inlineStr">
        <is>
          <t>Yes</t>
        </is>
      </c>
      <c r="H12" s="16" t="inlineStr">
        <is>
          <t>TX-506</t>
        </is>
      </c>
      <c r="I12" s="16" t="inlineStr">
        <is>
          <t>MISCELLANEOUS EROSION CONTROL</t>
        </is>
      </c>
      <c r="J12" s="16" t="inlineStr">
        <is>
          <t>LS</t>
        </is>
      </c>
      <c r="K12" s="21" t="n">
        <v>1</v>
      </c>
      <c r="L12" s="19" t="n">
        <v>12000</v>
      </c>
      <c r="M12" s="19" t="n">
        <v>12000</v>
      </c>
      <c r="N12" s="16" t="inlineStr">
        <is>
          <t>Yes</t>
        </is>
      </c>
    </row>
    <row r="13">
      <c r="A13" s="16" t="inlineStr">
        <is>
          <t>NTB2614LHART00034</t>
        </is>
      </c>
      <c r="B13" s="16" t="inlineStr">
        <is>
          <t>Lockhart Municipal Airport</t>
        </is>
      </c>
      <c r="C13" s="16" t="inlineStr">
        <is>
          <t>2614LHART</t>
        </is>
      </c>
      <c r="D13" s="17" t="n">
        <v>46302.54166666666</v>
      </c>
      <c r="E13" s="16" t="inlineStr">
        <is>
          <t>Fencing Unlimited LLC</t>
        </is>
      </c>
      <c r="F13" s="16" t="n">
        <v>2</v>
      </c>
      <c r="G13" s="19" t="inlineStr">
        <is>
          <t>No</t>
        </is>
      </c>
      <c r="H13" s="16" t="inlineStr">
        <is>
          <t>C-105</t>
        </is>
      </c>
      <c r="I13" s="16" t="inlineStr">
        <is>
          <t>MOBILIZATION</t>
        </is>
      </c>
      <c r="J13" s="16" t="inlineStr">
        <is>
          <t>LS</t>
        </is>
      </c>
      <c r="K13" s="21" t="n">
        <v>1</v>
      </c>
      <c r="L13" s="19" t="n">
        <v>40000</v>
      </c>
      <c r="M13" s="19" t="n">
        <v>40000</v>
      </c>
      <c r="N13" s="16" t="inlineStr">
        <is>
          <t>Yes</t>
        </is>
      </c>
    </row>
    <row r="14">
      <c r="A14" s="16" t="inlineStr">
        <is>
          <t>NTB2614LHART00034</t>
        </is>
      </c>
      <c r="B14" s="16" t="inlineStr">
        <is>
          <t>Lockhart Municipal Airport</t>
        </is>
      </c>
      <c r="C14" s="16" t="inlineStr">
        <is>
          <t>2614LHART</t>
        </is>
      </c>
      <c r="D14" s="17" t="n">
        <v>46302.54166666666</v>
      </c>
      <c r="E14" s="16" t="inlineStr">
        <is>
          <t>Fencing Unlimited LLC</t>
        </is>
      </c>
      <c r="F14" s="16" t="n">
        <v>2</v>
      </c>
      <c r="G14" s="19" t="inlineStr">
        <is>
          <t>No</t>
        </is>
      </c>
      <c r="H14" s="16" t="inlineStr">
        <is>
          <t>TX-100</t>
        </is>
      </c>
      <c r="I14" s="16" t="inlineStr">
        <is>
          <t>PREPARING RIGHT OF WAY</t>
        </is>
      </c>
      <c r="J14" s="16" t="inlineStr">
        <is>
          <t>LS</t>
        </is>
      </c>
      <c r="K14" s="21" t="n">
        <v>1</v>
      </c>
      <c r="L14" s="19" t="n">
        <v>2000</v>
      </c>
      <c r="M14" s="19" t="n">
        <v>2000</v>
      </c>
      <c r="N14" s="16" t="inlineStr">
        <is>
          <t>Yes</t>
        </is>
      </c>
    </row>
    <row r="15">
      <c r="A15" s="16" t="inlineStr">
        <is>
          <t>NTB2614LHART00034</t>
        </is>
      </c>
      <c r="B15" s="16" t="inlineStr">
        <is>
          <t>Lockhart Municipal Airport</t>
        </is>
      </c>
      <c r="C15" s="16" t="inlineStr">
        <is>
          <t>2614LHART</t>
        </is>
      </c>
      <c r="D15" s="17" t="n">
        <v>46302.54166666666</v>
      </c>
      <c r="E15" s="16" t="inlineStr">
        <is>
          <t>Fencing Unlimited LLC</t>
        </is>
      </c>
      <c r="F15" s="16" t="n">
        <v>2</v>
      </c>
      <c r="G15" s="19" t="inlineStr">
        <is>
          <t>No</t>
        </is>
      </c>
      <c r="H15" s="16" t="inlineStr">
        <is>
          <t>F-164.1</t>
        </is>
      </c>
      <c r="I15" s="16" t="inlineStr">
        <is>
          <t>REMOVE EXISTING FENCE AND GATES</t>
        </is>
      </c>
      <c r="J15" s="16" t="inlineStr">
        <is>
          <t>LF</t>
        </is>
      </c>
      <c r="K15" s="21" t="n">
        <v>18750</v>
      </c>
      <c r="L15" s="19" t="n">
        <v>1</v>
      </c>
      <c r="M15" s="19" t="n">
        <v>18750</v>
      </c>
      <c r="N15" s="16" t="inlineStr">
        <is>
          <t>Yes</t>
        </is>
      </c>
    </row>
    <row r="16">
      <c r="A16" s="16" t="inlineStr">
        <is>
          <t>NTB2614LHART00034</t>
        </is>
      </c>
      <c r="B16" s="16" t="inlineStr">
        <is>
          <t>Lockhart Municipal Airport</t>
        </is>
      </c>
      <c r="C16" s="16" t="inlineStr">
        <is>
          <t>2614LHART</t>
        </is>
      </c>
      <c r="D16" s="17" t="n">
        <v>46302.54166666666</v>
      </c>
      <c r="E16" s="16" t="inlineStr">
        <is>
          <t>Fencing Unlimited LLC</t>
        </is>
      </c>
      <c r="F16" s="16" t="n">
        <v>2</v>
      </c>
      <c r="G16" s="19" t="inlineStr">
        <is>
          <t>No</t>
        </is>
      </c>
      <c r="H16" s="16" t="inlineStr">
        <is>
          <t>F-164.2</t>
        </is>
      </c>
      <c r="I16" s="16" t="inlineStr">
        <is>
          <t>INSTALL 8 FT TALL GAME FENCING</t>
        </is>
      </c>
      <c r="J16" s="16" t="inlineStr">
        <is>
          <t>LF</t>
        </is>
      </c>
      <c r="K16" s="21" t="n">
        <v>17730</v>
      </c>
      <c r="L16" s="19" t="n">
        <v>25</v>
      </c>
      <c r="M16" s="19" t="n">
        <v>443250</v>
      </c>
      <c r="N16" s="16" t="inlineStr">
        <is>
          <t>Yes</t>
        </is>
      </c>
    </row>
    <row r="17">
      <c r="A17" s="16" t="inlineStr">
        <is>
          <t>NTB2614LHART00034</t>
        </is>
      </c>
      <c r="B17" s="16" t="inlineStr">
        <is>
          <t>Lockhart Municipal Airport</t>
        </is>
      </c>
      <c r="C17" s="16" t="inlineStr">
        <is>
          <t>2614LHART</t>
        </is>
      </c>
      <c r="D17" s="17" t="n">
        <v>46302.54166666666</v>
      </c>
      <c r="E17" s="16" t="inlineStr">
        <is>
          <t>Fencing Unlimited LLC</t>
        </is>
      </c>
      <c r="F17" s="16" t="n">
        <v>2</v>
      </c>
      <c r="G17" s="19" t="inlineStr">
        <is>
          <t>No</t>
        </is>
      </c>
      <c r="H17" s="16" t="inlineStr">
        <is>
          <t>F-164.3a</t>
        </is>
      </c>
      <c r="I17" s="16" t="inlineStr">
        <is>
          <t>INSTALL NEW AUTOMATED GATE AND ASSOCIATED ELECTRICAL</t>
        </is>
      </c>
      <c r="J17" s="16" t="inlineStr">
        <is>
          <t>EA</t>
        </is>
      </c>
      <c r="K17" s="21" t="n">
        <v>1</v>
      </c>
      <c r="L17" s="19" t="n">
        <v>25000</v>
      </c>
      <c r="M17" s="19" t="n">
        <v>25000</v>
      </c>
      <c r="N17" s="16" t="inlineStr">
        <is>
          <t>Yes</t>
        </is>
      </c>
    </row>
    <row r="18">
      <c r="A18" s="16" t="inlineStr">
        <is>
          <t>NTB2614LHART00034</t>
        </is>
      </c>
      <c r="B18" s="16" t="inlineStr">
        <is>
          <t>Lockhart Municipal Airport</t>
        </is>
      </c>
      <c r="C18" s="16" t="inlineStr">
        <is>
          <t>2614LHART</t>
        </is>
      </c>
      <c r="D18" s="17" t="n">
        <v>46302.54166666666</v>
      </c>
      <c r="E18" s="16" t="inlineStr">
        <is>
          <t>Fencing Unlimited LLC</t>
        </is>
      </c>
      <c r="F18" s="16" t="n">
        <v>2</v>
      </c>
      <c r="G18" s="19" t="inlineStr">
        <is>
          <t>No</t>
        </is>
      </c>
      <c r="H18" s="16" t="inlineStr">
        <is>
          <t>F-164.3b</t>
        </is>
      </c>
      <c r="I18" s="16" t="inlineStr">
        <is>
          <t>INSTALL 16' SWING GATE</t>
        </is>
      </c>
      <c r="J18" s="16" t="inlineStr">
        <is>
          <t>EA</t>
        </is>
      </c>
      <c r="K18" s="21" t="n">
        <v>3</v>
      </c>
      <c r="L18" s="19" t="n">
        <v>2000</v>
      </c>
      <c r="M18" s="19" t="n">
        <v>6000</v>
      </c>
      <c r="N18" s="16" t="inlineStr">
        <is>
          <t>Yes</t>
        </is>
      </c>
    </row>
    <row r="19">
      <c r="A19" s="16" t="inlineStr">
        <is>
          <t>NTB2614LHART00034</t>
        </is>
      </c>
      <c r="B19" s="16" t="inlineStr">
        <is>
          <t>Lockhart Municipal Airport</t>
        </is>
      </c>
      <c r="C19" s="16" t="inlineStr">
        <is>
          <t>2614LHART</t>
        </is>
      </c>
      <c r="D19" s="17" t="n">
        <v>46302.54166666666</v>
      </c>
      <c r="E19" s="16" t="inlineStr">
        <is>
          <t>Fencing Unlimited LLC</t>
        </is>
      </c>
      <c r="F19" s="16" t="n">
        <v>2</v>
      </c>
      <c r="G19" s="19" t="inlineStr">
        <is>
          <t>No</t>
        </is>
      </c>
      <c r="H19" s="16" t="inlineStr">
        <is>
          <t>F-164.3c</t>
        </is>
      </c>
      <c r="I19" s="16" t="inlineStr">
        <is>
          <t>INSTALL PEDESTRIAN GATE</t>
        </is>
      </c>
      <c r="J19" s="16" t="inlineStr">
        <is>
          <t>EA</t>
        </is>
      </c>
      <c r="K19" s="21" t="n">
        <v>1</v>
      </c>
      <c r="L19" s="19" t="n">
        <v>1500</v>
      </c>
      <c r="M19" s="19" t="n">
        <v>1500</v>
      </c>
      <c r="N19" s="16" t="inlineStr">
        <is>
          <t>Yes</t>
        </is>
      </c>
    </row>
    <row r="20">
      <c r="A20" s="16" t="inlineStr">
        <is>
          <t>NTB2614LHART00034</t>
        </is>
      </c>
      <c r="B20" s="16" t="inlineStr">
        <is>
          <t>Lockhart Municipal Airport</t>
        </is>
      </c>
      <c r="C20" s="16" t="inlineStr">
        <is>
          <t>2614LHART</t>
        </is>
      </c>
      <c r="D20" s="17" t="n">
        <v>46302.54166666666</v>
      </c>
      <c r="E20" s="16" t="inlineStr">
        <is>
          <t>Fencing Unlimited LLC</t>
        </is>
      </c>
      <c r="F20" s="16" t="n">
        <v>2</v>
      </c>
      <c r="G20" s="19" t="inlineStr">
        <is>
          <t>No</t>
        </is>
      </c>
      <c r="H20" s="16" t="inlineStr">
        <is>
          <t>F-164.4</t>
        </is>
      </c>
      <c r="I20" s="16" t="inlineStr">
        <is>
          <t>INSTALL PREDATOR APRON</t>
        </is>
      </c>
      <c r="J20" s="16" t="inlineStr">
        <is>
          <t>LF</t>
        </is>
      </c>
      <c r="K20" s="21" t="n">
        <v>17630</v>
      </c>
      <c r="L20" s="19" t="n">
        <v>15</v>
      </c>
      <c r="M20" s="19" t="n">
        <v>264450</v>
      </c>
      <c r="N20" s="16" t="inlineStr">
        <is>
          <t>Yes</t>
        </is>
      </c>
    </row>
    <row r="21">
      <c r="A21" s="16" t="inlineStr">
        <is>
          <t>NTB2614LHART00034</t>
        </is>
      </c>
      <c r="B21" s="16" t="inlineStr">
        <is>
          <t>Lockhart Municipal Airport</t>
        </is>
      </c>
      <c r="C21" s="16" t="inlineStr">
        <is>
          <t>2614LHART</t>
        </is>
      </c>
      <c r="D21" s="17" t="n">
        <v>46302.54166666666</v>
      </c>
      <c r="E21" s="16" t="inlineStr">
        <is>
          <t>Fencing Unlimited LLC</t>
        </is>
      </c>
      <c r="F21" s="16" t="n">
        <v>2</v>
      </c>
      <c r="G21" s="19" t="inlineStr">
        <is>
          <t>No</t>
        </is>
      </c>
      <c r="H21" s="16" t="inlineStr">
        <is>
          <t>F-164.5</t>
        </is>
      </c>
      <c r="I21" s="16" t="inlineStr">
        <is>
          <t>INSTALL WATER GAP</t>
        </is>
      </c>
      <c r="J21" s="16" t="inlineStr">
        <is>
          <t>EA</t>
        </is>
      </c>
      <c r="K21" s="21" t="n">
        <v>3</v>
      </c>
      <c r="L21" s="19" t="n">
        <v>20500</v>
      </c>
      <c r="M21" s="19" t="n">
        <v>61500</v>
      </c>
      <c r="N21" s="16" t="inlineStr">
        <is>
          <t>Yes</t>
        </is>
      </c>
    </row>
    <row r="22">
      <c r="A22" s="16" t="inlineStr">
        <is>
          <t>NTB2614LHART00034</t>
        </is>
      </c>
      <c r="B22" s="16" t="inlineStr">
        <is>
          <t>Lockhart Municipal Airport</t>
        </is>
      </c>
      <c r="C22" s="16" t="inlineStr">
        <is>
          <t>2614LHART</t>
        </is>
      </c>
      <c r="D22" s="17" t="n">
        <v>46302.54166666666</v>
      </c>
      <c r="E22" s="16" t="inlineStr">
        <is>
          <t>Fencing Unlimited LLC</t>
        </is>
      </c>
      <c r="F22" s="16" t="n">
        <v>2</v>
      </c>
      <c r="G22" s="19" t="inlineStr">
        <is>
          <t>No</t>
        </is>
      </c>
      <c r="H22" s="16" t="inlineStr">
        <is>
          <t>L-125</t>
        </is>
      </c>
      <c r="I22" s="16" t="inlineStr">
        <is>
          <t>INSTALL SOLAR POWERED OBSTRUCTION LIGHT, COMPLETE</t>
        </is>
      </c>
      <c r="J22" s="16" t="inlineStr">
        <is>
          <t>EA</t>
        </is>
      </c>
      <c r="K22" s="21" t="n">
        <v>5</v>
      </c>
      <c r="L22" s="19" t="n">
        <v>5000</v>
      </c>
      <c r="M22" s="19" t="n">
        <v>25000</v>
      </c>
      <c r="N22" s="16" t="inlineStr">
        <is>
          <t>Yes</t>
        </is>
      </c>
    </row>
    <row r="23">
      <c r="A23" s="16" t="inlineStr">
        <is>
          <t>NTB2614LHART00034</t>
        </is>
      </c>
      <c r="B23" s="16" t="inlineStr">
        <is>
          <t>Lockhart Municipal Airport</t>
        </is>
      </c>
      <c r="C23" s="16" t="inlineStr">
        <is>
          <t>2614LHART</t>
        </is>
      </c>
      <c r="D23" s="17" t="n">
        <v>46302.54166666666</v>
      </c>
      <c r="E23" s="16" t="inlineStr">
        <is>
          <t>Fencing Unlimited LLC</t>
        </is>
      </c>
      <c r="F23" s="16" t="n">
        <v>2</v>
      </c>
      <c r="G23" s="19" t="inlineStr">
        <is>
          <t>No</t>
        </is>
      </c>
      <c r="H23" s="16" t="inlineStr">
        <is>
          <t>TX-506</t>
        </is>
      </c>
      <c r="I23" s="16" t="inlineStr">
        <is>
          <t>MISCELLANEOUS EROSION CONTROL</t>
        </is>
      </c>
      <c r="J23" s="16" t="inlineStr">
        <is>
          <t>LS</t>
        </is>
      </c>
      <c r="K23" s="21" t="n">
        <v>1</v>
      </c>
      <c r="L23" s="19" t="n">
        <v>5000</v>
      </c>
      <c r="M23" s="19" t="n">
        <v>5000</v>
      </c>
      <c r="N23" s="16" t="inlineStr">
        <is>
          <t>Yes</t>
        </is>
      </c>
    </row>
    <row r="24">
      <c r="A24" s="16" t="inlineStr">
        <is>
          <t>NTB2614LHART00034</t>
        </is>
      </c>
      <c r="B24" s="16" t="inlineStr">
        <is>
          <t>Lockhart Municipal Airport</t>
        </is>
      </c>
      <c r="C24" s="16" t="inlineStr">
        <is>
          <t>2614LHART</t>
        </is>
      </c>
      <c r="D24" s="17" t="n">
        <v>46302.54166666666</v>
      </c>
      <c r="E24" s="16" t="inlineStr">
        <is>
          <t>Digg Commercial LLC</t>
        </is>
      </c>
      <c r="F24" s="16" t="n">
        <v>3</v>
      </c>
      <c r="G24" s="19" t="inlineStr">
        <is>
          <t>No</t>
        </is>
      </c>
      <c r="H24" s="16" t="inlineStr">
        <is>
          <t>C-105</t>
        </is>
      </c>
      <c r="I24" s="16" t="inlineStr">
        <is>
          <t>MOBILIZATION</t>
        </is>
      </c>
      <c r="J24" s="16" t="inlineStr">
        <is>
          <t>LS</t>
        </is>
      </c>
      <c r="K24" s="21" t="n">
        <v>1</v>
      </c>
      <c r="L24" s="19" t="n">
        <v>150000</v>
      </c>
      <c r="M24" s="19" t="n">
        <v>150000</v>
      </c>
      <c r="N24" s="16" t="inlineStr">
        <is>
          <t>Yes</t>
        </is>
      </c>
    </row>
    <row r="25">
      <c r="A25" s="16" t="inlineStr">
        <is>
          <t>NTB2614LHART00034</t>
        </is>
      </c>
      <c r="B25" s="16" t="inlineStr">
        <is>
          <t>Lockhart Municipal Airport</t>
        </is>
      </c>
      <c r="C25" s="16" t="inlineStr">
        <is>
          <t>2614LHART</t>
        </is>
      </c>
      <c r="D25" s="17" t="n">
        <v>46302.54166666666</v>
      </c>
      <c r="E25" s="16" t="inlineStr">
        <is>
          <t>Digg Commercial LLC</t>
        </is>
      </c>
      <c r="F25" s="16" t="n">
        <v>3</v>
      </c>
      <c r="G25" s="19" t="inlineStr">
        <is>
          <t>No</t>
        </is>
      </c>
      <c r="H25" s="16" t="inlineStr">
        <is>
          <t>TX-100</t>
        </is>
      </c>
      <c r="I25" s="16" t="inlineStr">
        <is>
          <t>PREPARING RIGHT OF WAY</t>
        </is>
      </c>
      <c r="J25" s="16" t="inlineStr">
        <is>
          <t>LS</t>
        </is>
      </c>
      <c r="K25" s="21" t="n">
        <v>1</v>
      </c>
      <c r="L25" s="19" t="n">
        <v>50000</v>
      </c>
      <c r="M25" s="19" t="n">
        <v>50000</v>
      </c>
      <c r="N25" s="16" t="inlineStr">
        <is>
          <t>Yes</t>
        </is>
      </c>
    </row>
    <row r="26">
      <c r="A26" s="16" t="inlineStr">
        <is>
          <t>NTB2614LHART00034</t>
        </is>
      </c>
      <c r="B26" s="16" t="inlineStr">
        <is>
          <t>Lockhart Municipal Airport</t>
        </is>
      </c>
      <c r="C26" s="16" t="inlineStr">
        <is>
          <t>2614LHART</t>
        </is>
      </c>
      <c r="D26" s="17" t="n">
        <v>46302.54166666666</v>
      </c>
      <c r="E26" s="16" t="inlineStr">
        <is>
          <t>Digg Commercial LLC</t>
        </is>
      </c>
      <c r="F26" s="16" t="n">
        <v>3</v>
      </c>
      <c r="G26" s="19" t="inlineStr">
        <is>
          <t>No</t>
        </is>
      </c>
      <c r="H26" s="16" t="inlineStr">
        <is>
          <t>F-164.1</t>
        </is>
      </c>
      <c r="I26" s="16" t="inlineStr">
        <is>
          <t>REMOVE EXISTING FENCE AND GATES</t>
        </is>
      </c>
      <c r="J26" s="16" t="inlineStr">
        <is>
          <t>LF</t>
        </is>
      </c>
      <c r="K26" s="21" t="n">
        <v>18750</v>
      </c>
      <c r="L26" s="19" t="n">
        <v>5</v>
      </c>
      <c r="M26" s="19" t="n">
        <v>93750</v>
      </c>
      <c r="N26" s="16" t="inlineStr">
        <is>
          <t>Yes</t>
        </is>
      </c>
    </row>
    <row r="27">
      <c r="A27" s="16" t="inlineStr">
        <is>
          <t>NTB2614LHART00034</t>
        </is>
      </c>
      <c r="B27" s="16" t="inlineStr">
        <is>
          <t>Lockhart Municipal Airport</t>
        </is>
      </c>
      <c r="C27" s="16" t="inlineStr">
        <is>
          <t>2614LHART</t>
        </is>
      </c>
      <c r="D27" s="17" t="n">
        <v>46302.54166666666</v>
      </c>
      <c r="E27" s="16" t="inlineStr">
        <is>
          <t>Digg Commercial LLC</t>
        </is>
      </c>
      <c r="F27" s="16" t="n">
        <v>3</v>
      </c>
      <c r="G27" s="19" t="inlineStr">
        <is>
          <t>No</t>
        </is>
      </c>
      <c r="H27" s="16" t="inlineStr">
        <is>
          <t>F-164.2</t>
        </is>
      </c>
      <c r="I27" s="16" t="inlineStr">
        <is>
          <t>INSTALL 8 FT TALL GAME FENCING</t>
        </is>
      </c>
      <c r="J27" s="16" t="inlineStr">
        <is>
          <t>LF</t>
        </is>
      </c>
      <c r="K27" s="21" t="n">
        <v>17730</v>
      </c>
      <c r="L27" s="19" t="n">
        <v>34</v>
      </c>
      <c r="M27" s="19" t="n">
        <v>602820</v>
      </c>
      <c r="N27" s="16" t="inlineStr">
        <is>
          <t>Yes</t>
        </is>
      </c>
    </row>
    <row r="28">
      <c r="A28" s="16" t="inlineStr">
        <is>
          <t>NTB2614LHART00034</t>
        </is>
      </c>
      <c r="B28" s="16" t="inlineStr">
        <is>
          <t>Lockhart Municipal Airport</t>
        </is>
      </c>
      <c r="C28" s="16" t="inlineStr">
        <is>
          <t>2614LHART</t>
        </is>
      </c>
      <c r="D28" s="17" t="n">
        <v>46302.54166666666</v>
      </c>
      <c r="E28" s="16" t="inlineStr">
        <is>
          <t>Digg Commercial LLC</t>
        </is>
      </c>
      <c r="F28" s="16" t="n">
        <v>3</v>
      </c>
      <c r="G28" s="19" t="inlineStr">
        <is>
          <t>No</t>
        </is>
      </c>
      <c r="H28" s="16" t="inlineStr">
        <is>
          <t>F-164.3a</t>
        </is>
      </c>
      <c r="I28" s="16" t="inlineStr">
        <is>
          <t>INSTALL NEW AUTOMATED GATE AND ASSOCIATED ELECTRICAL</t>
        </is>
      </c>
      <c r="J28" s="16" t="inlineStr">
        <is>
          <t>EA</t>
        </is>
      </c>
      <c r="K28" s="21" t="n">
        <v>1</v>
      </c>
      <c r="L28" s="19" t="n">
        <v>100000</v>
      </c>
      <c r="M28" s="19" t="n">
        <v>100000</v>
      </c>
      <c r="N28" s="16" t="inlineStr">
        <is>
          <t>Yes</t>
        </is>
      </c>
    </row>
    <row r="29">
      <c r="A29" s="16" t="inlineStr">
        <is>
          <t>NTB2614LHART00034</t>
        </is>
      </c>
      <c r="B29" s="16" t="inlineStr">
        <is>
          <t>Lockhart Municipal Airport</t>
        </is>
      </c>
      <c r="C29" s="16" t="inlineStr">
        <is>
          <t>2614LHART</t>
        </is>
      </c>
      <c r="D29" s="17" t="n">
        <v>46302.54166666666</v>
      </c>
      <c r="E29" s="16" t="inlineStr">
        <is>
          <t>Digg Commercial LLC</t>
        </is>
      </c>
      <c r="F29" s="16" t="n">
        <v>3</v>
      </c>
      <c r="G29" s="19" t="inlineStr">
        <is>
          <t>No</t>
        </is>
      </c>
      <c r="H29" s="16" t="inlineStr">
        <is>
          <t>F-164.3b</t>
        </is>
      </c>
      <c r="I29" s="16" t="inlineStr">
        <is>
          <t>INSTALL 16' SWING GATE</t>
        </is>
      </c>
      <c r="J29" s="16" t="inlineStr">
        <is>
          <t>EA</t>
        </is>
      </c>
      <c r="K29" s="21" t="n">
        <v>3</v>
      </c>
      <c r="L29" s="19" t="n">
        <v>3200</v>
      </c>
      <c r="M29" s="19" t="n">
        <v>9600</v>
      </c>
      <c r="N29" s="16" t="inlineStr">
        <is>
          <t>Yes</t>
        </is>
      </c>
    </row>
    <row r="30">
      <c r="A30" s="16" t="inlineStr">
        <is>
          <t>NTB2614LHART00034</t>
        </is>
      </c>
      <c r="B30" s="16" t="inlineStr">
        <is>
          <t>Lockhart Municipal Airport</t>
        </is>
      </c>
      <c r="C30" s="16" t="inlineStr">
        <is>
          <t>2614LHART</t>
        </is>
      </c>
      <c r="D30" s="17" t="n">
        <v>46302.54166666666</v>
      </c>
      <c r="E30" s="16" t="inlineStr">
        <is>
          <t>Digg Commercial LLC</t>
        </is>
      </c>
      <c r="F30" s="16" t="n">
        <v>3</v>
      </c>
      <c r="G30" s="19" t="inlineStr">
        <is>
          <t>No</t>
        </is>
      </c>
      <c r="H30" s="16" t="inlineStr">
        <is>
          <t>F-164.3c</t>
        </is>
      </c>
      <c r="I30" s="16" t="inlineStr">
        <is>
          <t>INSTALL PEDESTRIAN GATE</t>
        </is>
      </c>
      <c r="J30" s="16" t="inlineStr">
        <is>
          <t>EA</t>
        </is>
      </c>
      <c r="K30" s="21" t="n">
        <v>1</v>
      </c>
      <c r="L30" s="19" t="n">
        <v>2000</v>
      </c>
      <c r="M30" s="19" t="n">
        <v>2000</v>
      </c>
      <c r="N30" s="16" t="inlineStr">
        <is>
          <t>Yes</t>
        </is>
      </c>
    </row>
    <row r="31">
      <c r="A31" s="16" t="inlineStr">
        <is>
          <t>NTB2614LHART00034</t>
        </is>
      </c>
      <c r="B31" s="16" t="inlineStr">
        <is>
          <t>Lockhart Municipal Airport</t>
        </is>
      </c>
      <c r="C31" s="16" t="inlineStr">
        <is>
          <t>2614LHART</t>
        </is>
      </c>
      <c r="D31" s="17" t="n">
        <v>46302.54166666666</v>
      </c>
      <c r="E31" s="16" t="inlineStr">
        <is>
          <t>Digg Commercial LLC</t>
        </is>
      </c>
      <c r="F31" s="16" t="n">
        <v>3</v>
      </c>
      <c r="G31" s="19" t="inlineStr">
        <is>
          <t>No</t>
        </is>
      </c>
      <c r="H31" s="16" t="inlineStr">
        <is>
          <t>F-164.4</t>
        </is>
      </c>
      <c r="I31" s="16" t="inlineStr">
        <is>
          <t>INSTALL PREDATOR APRON</t>
        </is>
      </c>
      <c r="J31" s="16" t="inlineStr">
        <is>
          <t>LF</t>
        </is>
      </c>
      <c r="K31" s="21" t="n">
        <v>17630</v>
      </c>
      <c r="L31" s="19" t="n">
        <v>25</v>
      </c>
      <c r="M31" s="19" t="n">
        <v>440750</v>
      </c>
      <c r="N31" s="16" t="inlineStr">
        <is>
          <t>Yes</t>
        </is>
      </c>
    </row>
    <row r="32">
      <c r="A32" s="16" t="inlineStr">
        <is>
          <t>NTB2614LHART00034</t>
        </is>
      </c>
      <c r="B32" s="16" t="inlineStr">
        <is>
          <t>Lockhart Municipal Airport</t>
        </is>
      </c>
      <c r="C32" s="16" t="inlineStr">
        <is>
          <t>2614LHART</t>
        </is>
      </c>
      <c r="D32" s="17" t="n">
        <v>46302.54166666666</v>
      </c>
      <c r="E32" s="16" t="inlineStr">
        <is>
          <t>Digg Commercial LLC</t>
        </is>
      </c>
      <c r="F32" s="16" t="n">
        <v>3</v>
      </c>
      <c r="G32" s="19" t="inlineStr">
        <is>
          <t>No</t>
        </is>
      </c>
      <c r="H32" s="16" t="inlineStr">
        <is>
          <t>F-164.5</t>
        </is>
      </c>
      <c r="I32" s="16" t="inlineStr">
        <is>
          <t>INSTALL WATER GAP</t>
        </is>
      </c>
      <c r="J32" s="16" t="inlineStr">
        <is>
          <t>EA</t>
        </is>
      </c>
      <c r="K32" s="21" t="n">
        <v>3</v>
      </c>
      <c r="L32" s="19" t="n">
        <v>45000</v>
      </c>
      <c r="M32" s="19" t="n">
        <v>135000</v>
      </c>
      <c r="N32" s="16" t="inlineStr">
        <is>
          <t>Yes</t>
        </is>
      </c>
    </row>
    <row r="33">
      <c r="A33" s="16" t="inlineStr">
        <is>
          <t>NTB2614LHART00034</t>
        </is>
      </c>
      <c r="B33" s="16" t="inlineStr">
        <is>
          <t>Lockhart Municipal Airport</t>
        </is>
      </c>
      <c r="C33" s="16" t="inlineStr">
        <is>
          <t>2614LHART</t>
        </is>
      </c>
      <c r="D33" s="17" t="n">
        <v>46302.54166666666</v>
      </c>
      <c r="E33" s="16" t="inlineStr">
        <is>
          <t>Digg Commercial LLC</t>
        </is>
      </c>
      <c r="F33" s="16" t="n">
        <v>3</v>
      </c>
      <c r="G33" s="19" t="inlineStr">
        <is>
          <t>No</t>
        </is>
      </c>
      <c r="H33" s="16" t="inlineStr">
        <is>
          <t>L-125</t>
        </is>
      </c>
      <c r="I33" s="16" t="inlineStr">
        <is>
          <t>INSTALL SOLAR POWERED OBSTRUCTION LIGHT, COMPLETE</t>
        </is>
      </c>
      <c r="J33" s="16" t="inlineStr">
        <is>
          <t>EA</t>
        </is>
      </c>
      <c r="K33" s="21" t="n">
        <v>5</v>
      </c>
      <c r="L33" s="19" t="n">
        <v>6000</v>
      </c>
      <c r="M33" s="19" t="n">
        <v>30000</v>
      </c>
      <c r="N33" s="16" t="inlineStr">
        <is>
          <t>Yes</t>
        </is>
      </c>
    </row>
    <row r="34">
      <c r="A34" s="16" t="inlineStr">
        <is>
          <t>NTB2614LHART00034</t>
        </is>
      </c>
      <c r="B34" s="16" t="inlineStr">
        <is>
          <t>Lockhart Municipal Airport</t>
        </is>
      </c>
      <c r="C34" s="16" t="inlineStr">
        <is>
          <t>2614LHART</t>
        </is>
      </c>
      <c r="D34" s="17" t="n">
        <v>46302.54166666666</v>
      </c>
      <c r="E34" s="16" t="inlineStr">
        <is>
          <t>Digg Commercial LLC</t>
        </is>
      </c>
      <c r="F34" s="16" t="n">
        <v>3</v>
      </c>
      <c r="G34" s="19" t="inlineStr">
        <is>
          <t>No</t>
        </is>
      </c>
      <c r="H34" s="16" t="inlineStr">
        <is>
          <t>TX-506</t>
        </is>
      </c>
      <c r="I34" s="16" t="inlineStr">
        <is>
          <t>MISCELLANEOUS EROSION CONTROL</t>
        </is>
      </c>
      <c r="J34" s="16" t="inlineStr">
        <is>
          <t>LS</t>
        </is>
      </c>
      <c r="K34" s="21" t="n">
        <v>1</v>
      </c>
      <c r="L34" s="19" t="n">
        <v>50000</v>
      </c>
      <c r="M34" s="19" t="n">
        <v>50000</v>
      </c>
      <c r="N34" s="16" t="inlineStr">
        <is>
          <t>Yes</t>
        </is>
      </c>
    </row>
    <row r="35">
      <c r="A35" s="16" t="inlineStr">
        <is>
          <t>NTB2521ZAPAT00053</t>
        </is>
      </c>
      <c r="B35" s="16" t="inlineStr">
        <is>
          <t>Zapata County Airport</t>
        </is>
      </c>
      <c r="C35" s="16" t="inlineStr">
        <is>
          <t>2521ZAPAT</t>
        </is>
      </c>
      <c r="D35" s="17" t="n">
        <v>46309.54166666666</v>
      </c>
      <c r="E35" s="16" t="inlineStr">
        <is>
          <t>Anderson Columbia Company, Inc.</t>
        </is>
      </c>
      <c r="F35" s="16" t="n">
        <v>1</v>
      </c>
      <c r="G35" s="19" t="inlineStr">
        <is>
          <t>Yes</t>
        </is>
      </c>
      <c r="H35" s="16" t="inlineStr">
        <is>
          <t>C-105</t>
        </is>
      </c>
      <c r="I35" s="16" t="inlineStr">
        <is>
          <t>CONTRACTOR MOBILIZATION (8%)</t>
        </is>
      </c>
      <c r="J35" s="16" t="inlineStr">
        <is>
          <t>LS</t>
        </is>
      </c>
      <c r="K35" s="21" t="n">
        <v>1</v>
      </c>
      <c r="L35" s="19" t="n">
        <v>320000</v>
      </c>
      <c r="M35" s="19" t="n">
        <v>320000</v>
      </c>
      <c r="N35" s="16" t="inlineStr">
        <is>
          <t>Yes</t>
        </is>
      </c>
    </row>
    <row r="36">
      <c r="A36" s="16" t="inlineStr">
        <is>
          <t>NTB2521ZAPAT00053</t>
        </is>
      </c>
      <c r="B36" s="16" t="inlineStr">
        <is>
          <t>Zapata County Airport</t>
        </is>
      </c>
      <c r="C36" s="16" t="inlineStr">
        <is>
          <t>2521ZAPAT</t>
        </is>
      </c>
      <c r="D36" s="17" t="n">
        <v>46309.54166666666</v>
      </c>
      <c r="E36" s="16" t="inlineStr">
        <is>
          <t>Anderson Columbia Company, Inc.</t>
        </is>
      </c>
      <c r="F36" s="16" t="n">
        <v>1</v>
      </c>
      <c r="G36" s="19" t="inlineStr">
        <is>
          <t>Yes</t>
        </is>
      </c>
      <c r="H36" s="16" t="inlineStr">
        <is>
          <t>C-100</t>
        </is>
      </c>
      <c r="I36" s="16" t="inlineStr">
        <is>
          <t>CONTRACTOR QUALITY CONTROL PROGRAM</t>
        </is>
      </c>
      <c r="J36" s="16" t="inlineStr">
        <is>
          <t>LS</t>
        </is>
      </c>
      <c r="K36" s="21" t="n">
        <v>1</v>
      </c>
      <c r="L36" s="19" t="n">
        <v>152000</v>
      </c>
      <c r="M36" s="19" t="n">
        <v>152000</v>
      </c>
      <c r="N36" s="16" t="inlineStr">
        <is>
          <t>Yes</t>
        </is>
      </c>
    </row>
    <row r="37">
      <c r="A37" s="16" t="inlineStr">
        <is>
          <t>NTB2521ZAPAT00053</t>
        </is>
      </c>
      <c r="B37" s="16" t="inlineStr">
        <is>
          <t>Zapata County Airport</t>
        </is>
      </c>
      <c r="C37" s="16" t="inlineStr">
        <is>
          <t>2521ZAPAT</t>
        </is>
      </c>
      <c r="D37" s="17" t="n">
        <v>46309.54166666666</v>
      </c>
      <c r="E37" s="16" t="inlineStr">
        <is>
          <t>Anderson Columbia Company, Inc.</t>
        </is>
      </c>
      <c r="F37" s="16" t="n">
        <v>1</v>
      </c>
      <c r="G37" s="19" t="inlineStr">
        <is>
          <t>Yes</t>
        </is>
      </c>
      <c r="H37" s="16" t="inlineStr">
        <is>
          <t>C-102-5.1a</t>
        </is>
      </c>
      <c r="I37" s="16" t="inlineStr">
        <is>
          <t>TEMPORARY AIR AND WATER POLLUTION, SOIL EROSION, AND SILTATION CONTROL</t>
        </is>
      </c>
      <c r="J37" s="16" t="inlineStr">
        <is>
          <t>LS</t>
        </is>
      </c>
      <c r="K37" s="21" t="n">
        <v>1</v>
      </c>
      <c r="L37" s="19" t="n">
        <v>100000</v>
      </c>
      <c r="M37" s="19" t="n">
        <v>100000</v>
      </c>
      <c r="N37" s="16" t="inlineStr">
        <is>
          <t>Yes</t>
        </is>
      </c>
    </row>
    <row r="38">
      <c r="A38" s="16" t="inlineStr">
        <is>
          <t>NTB2521ZAPAT00053</t>
        </is>
      </c>
      <c r="B38" s="16" t="inlineStr">
        <is>
          <t>Zapata County Airport</t>
        </is>
      </c>
      <c r="C38" s="16" t="inlineStr">
        <is>
          <t>2521ZAPAT</t>
        </is>
      </c>
      <c r="D38" s="17" t="n">
        <v>46309.54166666666</v>
      </c>
      <c r="E38" s="16" t="inlineStr">
        <is>
          <t>Anderson Columbia Company, Inc.</t>
        </is>
      </c>
      <c r="F38" s="16" t="n">
        <v>1</v>
      </c>
      <c r="G38" s="19" t="inlineStr">
        <is>
          <t>Yes</t>
        </is>
      </c>
      <c r="H38" s="16" t="inlineStr">
        <is>
          <t>P-140-3.1</t>
        </is>
      </c>
      <c r="I38" s="16" t="inlineStr">
        <is>
          <t>TEMPORARY BARRICADES AND MARKING FOR PAVEMENT CLOSURE</t>
        </is>
      </c>
      <c r="J38" s="16" t="inlineStr">
        <is>
          <t>LS</t>
        </is>
      </c>
      <c r="K38" s="21" t="n">
        <v>1</v>
      </c>
      <c r="L38" s="19" t="n">
        <v>18000</v>
      </c>
      <c r="M38" s="19" t="n">
        <v>18000</v>
      </c>
      <c r="N38" s="16" t="inlineStr">
        <is>
          <t>Yes</t>
        </is>
      </c>
    </row>
    <row r="39">
      <c r="A39" s="16" t="inlineStr">
        <is>
          <t>NTB2521ZAPAT00053</t>
        </is>
      </c>
      <c r="B39" s="16" t="inlineStr">
        <is>
          <t>Zapata County Airport</t>
        </is>
      </c>
      <c r="C39" s="16" t="inlineStr">
        <is>
          <t>2521ZAPAT</t>
        </is>
      </c>
      <c r="D39" s="17" t="n">
        <v>46309.54166666666</v>
      </c>
      <c r="E39" s="16" t="inlineStr">
        <is>
          <t>Anderson Columbia Company, Inc.</t>
        </is>
      </c>
      <c r="F39" s="16" t="n">
        <v>1</v>
      </c>
      <c r="G39" s="19" t="inlineStr">
        <is>
          <t>Yes</t>
        </is>
      </c>
      <c r="H39" s="16" t="inlineStr">
        <is>
          <t>P-101-5.1</t>
        </is>
      </c>
      <c r="I39" s="16" t="inlineStr">
        <is>
          <t>PAVEMENT REMOVAL AND STOCKPILE</t>
        </is>
      </c>
      <c r="J39" s="16" t="inlineStr">
        <is>
          <t>SY</t>
        </is>
      </c>
      <c r="K39" s="21" t="n">
        <v>44600</v>
      </c>
      <c r="L39" s="19" t="n">
        <v>5.2</v>
      </c>
      <c r="M39" s="19" t="n">
        <v>231920</v>
      </c>
      <c r="N39" s="16" t="inlineStr">
        <is>
          <t>Yes</t>
        </is>
      </c>
    </row>
    <row r="40">
      <c r="A40" s="16" t="inlineStr">
        <is>
          <t>NTB2521ZAPAT00053</t>
        </is>
      </c>
      <c r="B40" s="16" t="inlineStr">
        <is>
          <t>Zapata County Airport</t>
        </is>
      </c>
      <c r="C40" s="16" t="inlineStr">
        <is>
          <t>2521ZAPAT</t>
        </is>
      </c>
      <c r="D40" s="17" t="n">
        <v>46309.54166666666</v>
      </c>
      <c r="E40" s="16" t="inlineStr">
        <is>
          <t>Anderson Columbia Company, Inc.</t>
        </is>
      </c>
      <c r="F40" s="16" t="n">
        <v>1</v>
      </c>
      <c r="G40" s="19" t="inlineStr">
        <is>
          <t>Yes</t>
        </is>
      </c>
      <c r="H40" s="16" t="inlineStr">
        <is>
          <t>P-152-4.1</t>
        </is>
      </c>
      <c r="I40" s="16" t="inlineStr">
        <is>
          <t>DRAINAGE EXCAVATION AND TRENCHING</t>
        </is>
      </c>
      <c r="J40" s="16" t="inlineStr">
        <is>
          <t>CY</t>
        </is>
      </c>
      <c r="K40" s="21" t="n">
        <v>15</v>
      </c>
      <c r="L40" s="19" t="n">
        <v>44</v>
      </c>
      <c r="M40" s="19" t="n">
        <v>660</v>
      </c>
      <c r="N40" s="16" t="inlineStr">
        <is>
          <t>Yes</t>
        </is>
      </c>
    </row>
    <row r="41">
      <c r="A41" s="16" t="inlineStr">
        <is>
          <t>NTB2521ZAPAT00053</t>
        </is>
      </c>
      <c r="B41" s="16" t="inlineStr">
        <is>
          <t>Zapata County Airport</t>
        </is>
      </c>
      <c r="C41" s="16" t="inlineStr">
        <is>
          <t>2521ZAPAT</t>
        </is>
      </c>
      <c r="D41" s="17" t="n">
        <v>46309.54166666666</v>
      </c>
      <c r="E41" s="16" t="inlineStr">
        <is>
          <t>Anderson Columbia Company, Inc.</t>
        </is>
      </c>
      <c r="F41" s="16" t="n">
        <v>1</v>
      </c>
      <c r="G41" s="19" t="inlineStr">
        <is>
          <t>Yes</t>
        </is>
      </c>
      <c r="H41" s="16" t="inlineStr">
        <is>
          <t>P-152-4.4</t>
        </is>
      </c>
      <c r="I41" s="16" t="inlineStr">
        <is>
          <t>EXCAVATION, GRADING, AND SUBGRADE PREPARATION</t>
        </is>
      </c>
      <c r="J41" s="16" t="inlineStr">
        <is>
          <t>SY</t>
        </is>
      </c>
      <c r="K41" s="21" t="n">
        <v>60410</v>
      </c>
      <c r="L41" s="19" t="n">
        <v>1.7</v>
      </c>
      <c r="M41" s="19" t="n">
        <v>102697</v>
      </c>
      <c r="N41" s="16" t="inlineStr">
        <is>
          <t>Yes</t>
        </is>
      </c>
    </row>
    <row r="42">
      <c r="A42" s="16" t="inlineStr">
        <is>
          <t>NTB2521ZAPAT00053</t>
        </is>
      </c>
      <c r="B42" s="16" t="inlineStr">
        <is>
          <t>Zapata County Airport</t>
        </is>
      </c>
      <c r="C42" s="16" t="inlineStr">
        <is>
          <t>2521ZAPAT</t>
        </is>
      </c>
      <c r="D42" s="17" t="n">
        <v>46309.54166666666</v>
      </c>
      <c r="E42" s="16" t="inlineStr">
        <is>
          <t>Anderson Columbia Company, Inc.</t>
        </is>
      </c>
      <c r="F42" s="16" t="n">
        <v>1</v>
      </c>
      <c r="G42" s="19" t="inlineStr">
        <is>
          <t>Yes</t>
        </is>
      </c>
      <c r="H42" s="16" t="inlineStr">
        <is>
          <t>P-152-4.2</t>
        </is>
      </c>
      <c r="I42" s="16" t="inlineStr">
        <is>
          <t>EMBANKMENT IN PLACE</t>
        </is>
      </c>
      <c r="J42" s="16" t="inlineStr">
        <is>
          <t>CY</t>
        </is>
      </c>
      <c r="K42" s="21" t="n">
        <v>880</v>
      </c>
      <c r="L42" s="19" t="n">
        <v>16</v>
      </c>
      <c r="M42" s="19" t="n">
        <v>14080</v>
      </c>
      <c r="N42" s="16" t="inlineStr">
        <is>
          <t>Yes</t>
        </is>
      </c>
    </row>
    <row r="43">
      <c r="A43" s="16" t="inlineStr">
        <is>
          <t>NTB2521ZAPAT00053</t>
        </is>
      </c>
      <c r="B43" s="16" t="inlineStr">
        <is>
          <t>Zapata County Airport</t>
        </is>
      </c>
      <c r="C43" s="16" t="inlineStr">
        <is>
          <t>2521ZAPAT</t>
        </is>
      </c>
      <c r="D43" s="17" t="n">
        <v>46309.54166666666</v>
      </c>
      <c r="E43" s="16" t="inlineStr">
        <is>
          <t>Anderson Columbia Company, Inc.</t>
        </is>
      </c>
      <c r="F43" s="16" t="n">
        <v>1</v>
      </c>
      <c r="G43" s="19" t="inlineStr">
        <is>
          <t>Yes</t>
        </is>
      </c>
      <c r="H43" s="16" t="inlineStr">
        <is>
          <t>P-152-4.5</t>
        </is>
      </c>
      <c r="I43" s="16" t="inlineStr">
        <is>
          <t>GRADING IN UNPAVED AREAS</t>
        </is>
      </c>
      <c r="J43" s="16" t="inlineStr">
        <is>
          <t>SY</t>
        </is>
      </c>
      <c r="K43" s="21" t="n">
        <v>51550</v>
      </c>
      <c r="L43" s="19" t="n">
        <v>0.7</v>
      </c>
      <c r="M43" s="19" t="n">
        <v>36085</v>
      </c>
      <c r="N43" s="16" t="inlineStr">
        <is>
          <t>Yes</t>
        </is>
      </c>
    </row>
    <row r="44">
      <c r="A44" s="16" t="inlineStr">
        <is>
          <t>NTB2521ZAPAT00053</t>
        </is>
      </c>
      <c r="B44" s="16" t="inlineStr">
        <is>
          <t>Zapata County Airport</t>
        </is>
      </c>
      <c r="C44" s="16" t="inlineStr">
        <is>
          <t>2521ZAPAT</t>
        </is>
      </c>
      <c r="D44" s="17" t="n">
        <v>46309.54166666666</v>
      </c>
      <c r="E44" s="16" t="inlineStr">
        <is>
          <t>Anderson Columbia Company, Inc.</t>
        </is>
      </c>
      <c r="F44" s="16" t="n">
        <v>1</v>
      </c>
      <c r="G44" s="19" t="inlineStr">
        <is>
          <t>Yes</t>
        </is>
      </c>
      <c r="H44" s="16" t="inlineStr">
        <is>
          <t>P-152-4.6</t>
        </is>
      </c>
      <c r="I44" s="16" t="inlineStr">
        <is>
          <t>TOPSOIL REMOVAL AND STOCKPILE (4-5 INCHES) TO REUSE</t>
        </is>
      </c>
      <c r="J44" s="16" t="inlineStr">
        <is>
          <t>SY</t>
        </is>
      </c>
      <c r="K44" s="21" t="n">
        <v>23620</v>
      </c>
      <c r="L44" s="19" t="n">
        <v>0.5</v>
      </c>
      <c r="M44" s="19" t="n">
        <v>11810</v>
      </c>
      <c r="N44" s="16" t="inlineStr">
        <is>
          <t>Yes</t>
        </is>
      </c>
    </row>
    <row r="45">
      <c r="A45" s="16" t="inlineStr">
        <is>
          <t>NTB2521ZAPAT00053</t>
        </is>
      </c>
      <c r="B45" s="16" t="inlineStr">
        <is>
          <t>Zapata County Airport</t>
        </is>
      </c>
      <c r="C45" s="16" t="inlineStr">
        <is>
          <t>2521ZAPAT</t>
        </is>
      </c>
      <c r="D45" s="17" t="n">
        <v>46309.54166666666</v>
      </c>
      <c r="E45" s="16" t="inlineStr">
        <is>
          <t>Anderson Columbia Company, Inc.</t>
        </is>
      </c>
      <c r="F45" s="16" t="n">
        <v>1</v>
      </c>
      <c r="G45" s="19" t="inlineStr">
        <is>
          <t>Yes</t>
        </is>
      </c>
      <c r="H45" s="16" t="inlineStr">
        <is>
          <t>P-602-5.1</t>
        </is>
      </c>
      <c r="I45" s="16" t="inlineStr">
        <is>
          <t>EMULSIFIED ASPHALT PRIME COAT (0.3 GAL/ SY)</t>
        </is>
      </c>
      <c r="J45" s="16" t="inlineStr">
        <is>
          <t>GAL</t>
        </is>
      </c>
      <c r="K45" s="21" t="n">
        <v>17680</v>
      </c>
      <c r="L45" s="19" t="n">
        <v>6</v>
      </c>
      <c r="M45" s="19" t="n">
        <v>106080</v>
      </c>
      <c r="N45" s="16" t="inlineStr">
        <is>
          <t>Yes</t>
        </is>
      </c>
    </row>
    <row r="46">
      <c r="A46" s="16" t="inlineStr">
        <is>
          <t>NTB2521ZAPAT00053</t>
        </is>
      </c>
      <c r="B46" s="16" t="inlineStr">
        <is>
          <t>Zapata County Airport</t>
        </is>
      </c>
      <c r="C46" s="16" t="inlineStr">
        <is>
          <t>2521ZAPAT</t>
        </is>
      </c>
      <c r="D46" s="17" t="n">
        <v>46309.54166666666</v>
      </c>
      <c r="E46" s="16" t="inlineStr">
        <is>
          <t>Anderson Columbia Company, Inc.</t>
        </is>
      </c>
      <c r="F46" s="16" t="n">
        <v>1</v>
      </c>
      <c r="G46" s="19" t="inlineStr">
        <is>
          <t>Yes</t>
        </is>
      </c>
      <c r="H46" s="16" t="inlineStr">
        <is>
          <t>P-603-5.1</t>
        </is>
      </c>
      <c r="I46" s="16" t="inlineStr">
        <is>
          <t>EMULSIFIED ASPHALT TACK COAT (0.10 GAL/ SY)</t>
        </is>
      </c>
      <c r="J46" s="16" t="inlineStr">
        <is>
          <t>GAL</t>
        </is>
      </c>
      <c r="K46" s="21" t="n">
        <v>5900</v>
      </c>
      <c r="L46" s="19" t="n">
        <v>5</v>
      </c>
      <c r="M46" s="19" t="n">
        <v>29500</v>
      </c>
      <c r="N46" s="16" t="inlineStr">
        <is>
          <t>Yes</t>
        </is>
      </c>
    </row>
    <row r="47">
      <c r="A47" s="16" t="inlineStr">
        <is>
          <t>NTB2521ZAPAT00053</t>
        </is>
      </c>
      <c r="B47" s="16" t="inlineStr">
        <is>
          <t>Zapata County Airport</t>
        </is>
      </c>
      <c r="C47" s="16" t="inlineStr">
        <is>
          <t>2521ZAPAT</t>
        </is>
      </c>
      <c r="D47" s="17" t="n">
        <v>46309.54166666666</v>
      </c>
      <c r="E47" s="16" t="inlineStr">
        <is>
          <t>Anderson Columbia Company, Inc.</t>
        </is>
      </c>
      <c r="F47" s="16" t="n">
        <v>1</v>
      </c>
      <c r="G47" s="19" t="inlineStr">
        <is>
          <t>Yes</t>
        </is>
      </c>
      <c r="H47" s="16" t="inlineStr">
        <is>
          <t>P-620-5.1a</t>
        </is>
      </c>
      <c r="I47" s="16" t="inlineStr">
        <is>
          <t>SAND BLAST, CLEAN, AND REMARK EXISTING SEGMENTED CIRCLE MARKER SYSTEM, INCLUDING REFLECTIVE MEDIA (BEADS)</t>
        </is>
      </c>
      <c r="J47" s="16" t="inlineStr">
        <is>
          <t>LS</t>
        </is>
      </c>
      <c r="K47" s="21" t="n">
        <v>1</v>
      </c>
      <c r="L47" s="19" t="n">
        <v>10000</v>
      </c>
      <c r="M47" s="19" t="n">
        <v>10000</v>
      </c>
      <c r="N47" s="16" t="inlineStr">
        <is>
          <t>Yes</t>
        </is>
      </c>
    </row>
    <row r="48">
      <c r="A48" s="16" t="inlineStr">
        <is>
          <t>NTB2521ZAPAT00053</t>
        </is>
      </c>
      <c r="B48" s="16" t="inlineStr">
        <is>
          <t>Zapata County Airport</t>
        </is>
      </c>
      <c r="C48" s="16" t="inlineStr">
        <is>
          <t>2521ZAPAT</t>
        </is>
      </c>
      <c r="D48" s="17" t="n">
        <v>46309.54166666666</v>
      </c>
      <c r="E48" s="16" t="inlineStr">
        <is>
          <t>Anderson Columbia Company, Inc.</t>
        </is>
      </c>
      <c r="F48" s="16" t="n">
        <v>1</v>
      </c>
      <c r="G48" s="19" t="inlineStr">
        <is>
          <t>Yes</t>
        </is>
      </c>
      <c r="H48" s="16" t="inlineStr">
        <is>
          <t>P-620-5.2b</t>
        </is>
      </c>
      <c r="I48" s="16" t="inlineStr">
        <is>
          <t>RUNWAY AND TAXIWAY MARKING INCLUDING REFLECTIVE MEDIA (BEADS)</t>
        </is>
      </c>
      <c r="J48" s="16" t="inlineStr">
        <is>
          <t>SF</t>
        </is>
      </c>
      <c r="K48" s="21" t="n">
        <v>42065</v>
      </c>
      <c r="L48" s="19" t="n">
        <v>1.8</v>
      </c>
      <c r="M48" s="19" t="n">
        <v>75717</v>
      </c>
      <c r="N48" s="16" t="inlineStr">
        <is>
          <t>Yes</t>
        </is>
      </c>
    </row>
    <row r="49">
      <c r="A49" s="16" t="inlineStr">
        <is>
          <t>NTB2521ZAPAT00053</t>
        </is>
      </c>
      <c r="B49" s="16" t="inlineStr">
        <is>
          <t>Zapata County Airport</t>
        </is>
      </c>
      <c r="C49" s="16" t="inlineStr">
        <is>
          <t>2521ZAPAT</t>
        </is>
      </c>
      <c r="D49" s="17" t="n">
        <v>46309.54166666666</v>
      </c>
      <c r="E49" s="16" t="inlineStr">
        <is>
          <t>Anderson Columbia Company, Inc.</t>
        </is>
      </c>
      <c r="F49" s="16" t="n">
        <v>1</v>
      </c>
      <c r="G49" s="19" t="inlineStr">
        <is>
          <t>Yes</t>
        </is>
      </c>
      <c r="H49" s="16" t="inlineStr">
        <is>
          <t>TX-247-6.1</t>
        </is>
      </c>
      <c r="I49" s="16" t="inlineStr">
        <is>
          <t>GRADE 1-2, TYPE A CRUSHED AGGREGATE BASE COURSE (8-INCH THICKNESS)</t>
        </is>
      </c>
      <c r="J49" s="16" t="inlineStr">
        <is>
          <t>SY</t>
        </is>
      </c>
      <c r="K49" s="21" t="n">
        <v>58930</v>
      </c>
      <c r="L49" s="19" t="n">
        <v>32.6</v>
      </c>
      <c r="M49" s="19" t="n">
        <v>1921118</v>
      </c>
      <c r="N49" s="16" t="inlineStr">
        <is>
          <t>Yes</t>
        </is>
      </c>
    </row>
    <row r="50">
      <c r="A50" s="16" t="inlineStr">
        <is>
          <t>NTB2521ZAPAT00053</t>
        </is>
      </c>
      <c r="B50" s="16" t="inlineStr">
        <is>
          <t>Zapata County Airport</t>
        </is>
      </c>
      <c r="C50" s="16" t="inlineStr">
        <is>
          <t>2521ZAPAT</t>
        </is>
      </c>
      <c r="D50" s="17" t="n">
        <v>46309.54166666666</v>
      </c>
      <c r="E50" s="16" t="inlineStr">
        <is>
          <t>Anderson Columbia Company, Inc.</t>
        </is>
      </c>
      <c r="F50" s="16" t="n">
        <v>1</v>
      </c>
      <c r="G50" s="19" t="inlineStr">
        <is>
          <t>Yes</t>
        </is>
      </c>
      <c r="H50" s="16" t="inlineStr">
        <is>
          <t>TX-341</t>
        </is>
      </c>
      <c r="I50" s="16" t="inlineStr">
        <is>
          <t>HOT MIX ASPHALT, TYPE D (3- INCH THICKNESS), PLACED IN TWO 1.5-INCH LIFTS</t>
        </is>
      </c>
      <c r="J50" s="16" t="inlineStr">
        <is>
          <t>TON</t>
        </is>
      </c>
      <c r="K50" s="21" t="n">
        <v>9770</v>
      </c>
      <c r="L50" s="19" t="n">
        <v>126</v>
      </c>
      <c r="M50" s="19" t="n">
        <v>1231020</v>
      </c>
      <c r="N50" s="16" t="inlineStr">
        <is>
          <t>Yes</t>
        </is>
      </c>
    </row>
    <row r="51">
      <c r="A51" s="16" t="inlineStr">
        <is>
          <t>NTB2521ZAPAT00053</t>
        </is>
      </c>
      <c r="B51" s="16" t="inlineStr">
        <is>
          <t>Zapata County Airport</t>
        </is>
      </c>
      <c r="C51" s="16" t="inlineStr">
        <is>
          <t>2521ZAPAT</t>
        </is>
      </c>
      <c r="D51" s="17" t="n">
        <v>46309.54166666666</v>
      </c>
      <c r="E51" s="16" t="inlineStr">
        <is>
          <t>Anderson Columbia Company, Inc.</t>
        </is>
      </c>
      <c r="F51" s="16" t="n">
        <v>1</v>
      </c>
      <c r="G51" s="19" t="inlineStr">
        <is>
          <t>Yes</t>
        </is>
      </c>
      <c r="H51" s="16" t="inlineStr">
        <is>
          <t>D-701-5.1</t>
        </is>
      </c>
      <c r="I51" s="16" t="inlineStr">
        <is>
          <t>EXTEND EXISTING 18-INCH REINFORCED CONCRETE PIPE (RCP), COMPLETE IN PLACE, INCLUDING REMOVAL OF EXISTING</t>
        </is>
      </c>
      <c r="J51" s="16" t="inlineStr">
        <is>
          <t>LF</t>
        </is>
      </c>
      <c r="K51" s="21" t="n">
        <v>15</v>
      </c>
      <c r="L51" s="19" t="n">
        <v>280</v>
      </c>
      <c r="M51" s="19" t="n">
        <v>4200</v>
      </c>
      <c r="N51" s="16" t="inlineStr">
        <is>
          <t>Yes</t>
        </is>
      </c>
    </row>
    <row r="52">
      <c r="A52" s="16" t="inlineStr">
        <is>
          <t>NTB2521ZAPAT00053</t>
        </is>
      </c>
      <c r="B52" s="16" t="inlineStr">
        <is>
          <t>Zapata County Airport</t>
        </is>
      </c>
      <c r="C52" s="16" t="inlineStr">
        <is>
          <t>2521ZAPAT</t>
        </is>
      </c>
      <c r="D52" s="17" t="n">
        <v>46309.54166666666</v>
      </c>
      <c r="E52" s="16" t="inlineStr">
        <is>
          <t>Anderson Columbia Company, Inc.</t>
        </is>
      </c>
      <c r="F52" s="16" t="n">
        <v>1</v>
      </c>
      <c r="G52" s="19" t="inlineStr">
        <is>
          <t>Yes</t>
        </is>
      </c>
      <c r="H52" s="16" t="inlineStr">
        <is>
          <t>D-752-5.1</t>
        </is>
      </c>
      <c r="I52" s="16" t="inlineStr">
        <is>
          <t>REPLACE EXISTING CONCRETE- REINFORCED SAFETY END TREATMENT, FOR 18- INCH RCP PIPE, COMPLETE IN PLACE, INCLUDING REMOVAL OF EXISTING</t>
        </is>
      </c>
      <c r="J52" s="16" t="inlineStr">
        <is>
          <t>EA</t>
        </is>
      </c>
      <c r="K52" s="21" t="n">
        <v>1</v>
      </c>
      <c r="L52" s="19" t="n">
        <v>4000</v>
      </c>
      <c r="M52" s="19" t="n">
        <v>4000</v>
      </c>
      <c r="N52" s="16" t="inlineStr">
        <is>
          <t>Yes</t>
        </is>
      </c>
    </row>
    <row r="53">
      <c r="A53" s="16" t="inlineStr">
        <is>
          <t>NTB2521ZAPAT00053</t>
        </is>
      </c>
      <c r="B53" s="16" t="inlineStr">
        <is>
          <t>Zapata County Airport</t>
        </is>
      </c>
      <c r="C53" s="16" t="inlineStr">
        <is>
          <t>2521ZAPAT</t>
        </is>
      </c>
      <c r="D53" s="17" t="n">
        <v>46309.54166666666</v>
      </c>
      <c r="E53" s="16" t="inlineStr">
        <is>
          <t>Anderson Columbia Company, Inc.</t>
        </is>
      </c>
      <c r="F53" s="16" t="n">
        <v>1</v>
      </c>
      <c r="G53" s="19" t="inlineStr">
        <is>
          <t>Yes</t>
        </is>
      </c>
      <c r="H53" s="16" t="inlineStr">
        <is>
          <t>MC1-1</t>
        </is>
      </c>
      <c r="I53" s="16" t="inlineStr">
        <is>
          <t>FURNISH AND INSTALL AIRCRAFT TIE- DOWN ANCHORS, COMPLETE</t>
        </is>
      </c>
      <c r="J53" s="16" t="inlineStr">
        <is>
          <t>EA</t>
        </is>
      </c>
      <c r="K53" s="21" t="n">
        <v>18</v>
      </c>
      <c r="L53" s="19" t="n">
        <v>650</v>
      </c>
      <c r="M53" s="19" t="n">
        <v>11700</v>
      </c>
      <c r="N53" s="16" t="inlineStr">
        <is>
          <t>Yes</t>
        </is>
      </c>
    </row>
    <row r="54">
      <c r="A54" s="16" t="inlineStr">
        <is>
          <t>NTB2521ZAPAT00053</t>
        </is>
      </c>
      <c r="B54" s="16" t="inlineStr">
        <is>
          <t>Zapata County Airport</t>
        </is>
      </c>
      <c r="C54" s="16" t="inlineStr">
        <is>
          <t>2521ZAPAT</t>
        </is>
      </c>
      <c r="D54" s="17" t="n">
        <v>46309.54166666666</v>
      </c>
      <c r="E54" s="16" t="inlineStr">
        <is>
          <t>Anderson Columbia Company, Inc.</t>
        </is>
      </c>
      <c r="F54" s="16" t="n">
        <v>1</v>
      </c>
      <c r="G54" s="19" t="inlineStr">
        <is>
          <t>Yes</t>
        </is>
      </c>
      <c r="H54" s="16" t="inlineStr">
        <is>
          <t>T-901-5.1</t>
        </is>
      </c>
      <c r="I54" s="16" t="inlineStr">
        <is>
          <t>SEEDING, FERTILIZING, AND WATERING, COMPLETE</t>
        </is>
      </c>
      <c r="J54" s="16" t="inlineStr">
        <is>
          <t>AC</t>
        </is>
      </c>
      <c r="K54" s="21" t="n">
        <v>11</v>
      </c>
      <c r="L54" s="19" t="n">
        <v>6500</v>
      </c>
      <c r="M54" s="19" t="n">
        <v>71500</v>
      </c>
      <c r="N54" s="16" t="inlineStr">
        <is>
          <t>Yes</t>
        </is>
      </c>
    </row>
    <row r="55">
      <c r="A55" s="16" t="inlineStr">
        <is>
          <t>NTB2521ZAPAT00053</t>
        </is>
      </c>
      <c r="B55" s="16" t="inlineStr">
        <is>
          <t>Zapata County Airport</t>
        </is>
      </c>
      <c r="C55" s="16" t="inlineStr">
        <is>
          <t>2521ZAPAT</t>
        </is>
      </c>
      <c r="D55" s="17" t="n">
        <v>46309.54166666666</v>
      </c>
      <c r="E55" s="16" t="inlineStr">
        <is>
          <t>Anderson Columbia Company, Inc.</t>
        </is>
      </c>
      <c r="F55" s="16" t="n">
        <v>1</v>
      </c>
      <c r="G55" s="19" t="inlineStr">
        <is>
          <t>Yes</t>
        </is>
      </c>
      <c r="H55" s="16" t="inlineStr">
        <is>
          <t>T-905-5.1</t>
        </is>
      </c>
      <c r="I55" s="16" t="inlineStr">
        <is>
          <t>TOPSOIL , OBTAINED ON SITE, STOCKPILED (4- TO 6-INCH MINIMUM), INCLUDE AMENDMENT, IN PLACE</t>
        </is>
      </c>
      <c r="J55" s="16" t="inlineStr">
        <is>
          <t>SY</t>
        </is>
      </c>
      <c r="K55" s="21" t="n">
        <v>22700</v>
      </c>
      <c r="L55" s="19" t="n">
        <v>1</v>
      </c>
      <c r="M55" s="19" t="n">
        <v>22700</v>
      </c>
      <c r="N55" s="16" t="inlineStr">
        <is>
          <t>Yes</t>
        </is>
      </c>
    </row>
    <row r="56">
      <c r="A56" s="16" t="inlineStr">
        <is>
          <t>NTB2521ZAPAT00053</t>
        </is>
      </c>
      <c r="B56" s="16" t="inlineStr">
        <is>
          <t>Zapata County Airport</t>
        </is>
      </c>
      <c r="C56" s="16" t="inlineStr">
        <is>
          <t>2521ZAPAT</t>
        </is>
      </c>
      <c r="D56" s="17" t="n">
        <v>46309.54166666666</v>
      </c>
      <c r="E56" s="16" t="inlineStr">
        <is>
          <t>Anderson Columbia Company, Inc.</t>
        </is>
      </c>
      <c r="F56" s="16" t="n">
        <v>1</v>
      </c>
      <c r="G56" s="19" t="inlineStr">
        <is>
          <t>Yes</t>
        </is>
      </c>
      <c r="H56" s="16" t="inlineStr">
        <is>
          <t>L-101-5.1</t>
        </is>
      </c>
      <c r="I56" s="16" t="inlineStr">
        <is>
          <t>FURNISH AND INSTALL 1-801 A(L), LED CLASS 1 ROTATING BEACON INCLUDING REMOVAL OF EXISTING BEACON, IN-PLACE AND ALL ELECTRICAL CONSTRUCTION</t>
        </is>
      </c>
      <c r="J56" s="16" t="inlineStr">
        <is>
          <t>LS</t>
        </is>
      </c>
      <c r="K56" s="21" t="n">
        <v>1</v>
      </c>
      <c r="L56" s="19" t="n">
        <v>16000</v>
      </c>
      <c r="M56" s="19" t="n">
        <v>16000</v>
      </c>
      <c r="N56" s="16" t="inlineStr">
        <is>
          <t>Yes</t>
        </is>
      </c>
    </row>
    <row r="57">
      <c r="A57" s="16" t="inlineStr">
        <is>
          <t>NTB2521ZAPAT00053</t>
        </is>
      </c>
      <c r="B57" s="16" t="inlineStr">
        <is>
          <t>Zapata County Airport</t>
        </is>
      </c>
      <c r="C57" s="16" t="inlineStr">
        <is>
          <t>2521ZAPAT</t>
        </is>
      </c>
      <c r="D57" s="17" t="n">
        <v>46309.54166666666</v>
      </c>
      <c r="E57" s="16" t="inlineStr">
        <is>
          <t>Anderson Columbia Company, Inc.</t>
        </is>
      </c>
      <c r="F57" s="16" t="n">
        <v>1</v>
      </c>
      <c r="G57" s="19" t="inlineStr">
        <is>
          <t>Yes</t>
        </is>
      </c>
      <c r="H57" s="16" t="inlineStr">
        <is>
          <t>L-103-5.1</t>
        </is>
      </c>
      <c r="I57" s="16" t="inlineStr">
        <is>
          <t>FURNISH AND INSTALL 50-FOOT TIP-DOWN TOWER AND FOUNDATION, INCLUDING REMOVAL OF EXISTING TOWER IN-PLACE AND ALL ELECTRICAL CONSTRUCTION</t>
        </is>
      </c>
      <c r="J57" s="16" t="inlineStr">
        <is>
          <t>LS</t>
        </is>
      </c>
      <c r="K57" s="21" t="n">
        <v>1</v>
      </c>
      <c r="L57" s="19" t="n">
        <v>67000</v>
      </c>
      <c r="M57" s="19" t="n">
        <v>67000</v>
      </c>
      <c r="N57" s="16" t="inlineStr">
        <is>
          <t>Yes</t>
        </is>
      </c>
    </row>
    <row r="58">
      <c r="A58" s="16" t="inlineStr">
        <is>
          <t>NTB2521ZAPAT00053</t>
        </is>
      </c>
      <c r="B58" s="16" t="inlineStr">
        <is>
          <t>Zapata County Airport</t>
        </is>
      </c>
      <c r="C58" s="16" t="inlineStr">
        <is>
          <t>2521ZAPAT</t>
        </is>
      </c>
      <c r="D58" s="17" t="n">
        <v>46309.54166666666</v>
      </c>
      <c r="E58" s="16" t="inlineStr">
        <is>
          <t>Anderson Columbia Company, Inc.</t>
        </is>
      </c>
      <c r="F58" s="16" t="n">
        <v>1</v>
      </c>
      <c r="G58" s="19" t="inlineStr">
        <is>
          <t>Yes</t>
        </is>
      </c>
      <c r="H58" s="16" t="inlineStr">
        <is>
          <t>L-107-5.1</t>
        </is>
      </c>
      <c r="I58" s="16" t="inlineStr">
        <is>
          <t>FURNISH AND INSTALL LED 1-B INTERNALLY LIGHTED, FAA SIZE 2 WIND CONE AND FOUNDATION ON TILT-OVER MAST, INCLUDING REMOVAL OF EXISTING WIND CONE, FOUNDATION AND ALL ELECTRICAL CONSTRUCTION</t>
        </is>
      </c>
      <c r="J58" s="16" t="inlineStr">
        <is>
          <t>EA</t>
        </is>
      </c>
      <c r="K58" s="21" t="n">
        <v>1</v>
      </c>
      <c r="L58" s="19" t="n">
        <v>18000</v>
      </c>
      <c r="M58" s="19" t="n">
        <v>18000</v>
      </c>
      <c r="N58" s="16" t="inlineStr">
        <is>
          <t>Yes</t>
        </is>
      </c>
    </row>
    <row r="59">
      <c r="A59" s="16" t="inlineStr">
        <is>
          <t>NTB2521ZAPAT00053</t>
        </is>
      </c>
      <c r="B59" s="16" t="inlineStr">
        <is>
          <t>Zapata County Airport</t>
        </is>
      </c>
      <c r="C59" s="16" t="inlineStr">
        <is>
          <t>2521ZAPAT</t>
        </is>
      </c>
      <c r="D59" s="17" t="n">
        <v>46309.54166666666</v>
      </c>
      <c r="E59" s="16" t="inlineStr">
        <is>
          <t>Anderson Columbia Company, Inc.</t>
        </is>
      </c>
      <c r="F59" s="16" t="n">
        <v>1</v>
      </c>
      <c r="G59" s="19" t="inlineStr">
        <is>
          <t>Yes</t>
        </is>
      </c>
      <c r="H59" s="16" t="inlineStr">
        <is>
          <t>L-108-5.1</t>
        </is>
      </c>
      <c r="I59" s="16" t="inlineStr">
        <is>
          <t>TRENCHING, BACKFILL, AND COMPACT FOR PVC CONDUIT, 24-INCH MINIMUM DEPTH</t>
        </is>
      </c>
      <c r="J59" s="16" t="inlineStr">
        <is>
          <t>LF</t>
        </is>
      </c>
      <c r="K59" s="21" t="n">
        <v>12300</v>
      </c>
      <c r="L59" s="19" t="n">
        <v>9.699999999999999</v>
      </c>
      <c r="M59" s="19" t="n">
        <v>119310</v>
      </c>
      <c r="N59" s="16" t="inlineStr">
        <is>
          <t>Yes</t>
        </is>
      </c>
    </row>
    <row r="60">
      <c r="A60" s="16" t="inlineStr">
        <is>
          <t>NTB2521ZAPAT00053</t>
        </is>
      </c>
      <c r="B60" s="16" t="inlineStr">
        <is>
          <t>Zapata County Airport</t>
        </is>
      </c>
      <c r="C60" s="16" t="inlineStr">
        <is>
          <t>2521ZAPAT</t>
        </is>
      </c>
      <c r="D60" s="17" t="n">
        <v>46309.54166666666</v>
      </c>
      <c r="E60" s="16" t="inlineStr">
        <is>
          <t>Anderson Columbia Company, Inc.</t>
        </is>
      </c>
      <c r="F60" s="16" t="n">
        <v>1</v>
      </c>
      <c r="G60" s="19" t="inlineStr">
        <is>
          <t>Yes</t>
        </is>
      </c>
      <c r="H60" s="16" t="inlineStr">
        <is>
          <t>L-108-5.2</t>
        </is>
      </c>
      <c r="I60" s="16" t="inlineStr">
        <is>
          <t>TRENCHING, BACKFILL, AND COMPACT FOR PVC CONDUIT, 40-INCH MINIMUM DEPTH</t>
        </is>
      </c>
      <c r="J60" s="16" t="inlineStr">
        <is>
          <t>LF</t>
        </is>
      </c>
      <c r="K60" s="21" t="n">
        <v>660</v>
      </c>
      <c r="L60" s="19" t="n">
        <v>14</v>
      </c>
      <c r="M60" s="19" t="n">
        <v>9240</v>
      </c>
      <c r="N60" s="16" t="inlineStr">
        <is>
          <t>Yes</t>
        </is>
      </c>
    </row>
    <row r="61">
      <c r="A61" s="16" t="inlineStr">
        <is>
          <t>NTB2521ZAPAT00053</t>
        </is>
      </c>
      <c r="B61" s="16" t="inlineStr">
        <is>
          <t>Zapata County Airport</t>
        </is>
      </c>
      <c r="C61" s="16" t="inlineStr">
        <is>
          <t>2521ZAPAT</t>
        </is>
      </c>
      <c r="D61" s="17" t="n">
        <v>46309.54166666666</v>
      </c>
      <c r="E61" s="16" t="inlineStr">
        <is>
          <t>Anderson Columbia Company, Inc.</t>
        </is>
      </c>
      <c r="F61" s="16" t="n">
        <v>1</v>
      </c>
      <c r="G61" s="19" t="inlineStr">
        <is>
          <t>Yes</t>
        </is>
      </c>
      <c r="H61" s="16" t="inlineStr">
        <is>
          <t>L-108-5.3</t>
        </is>
      </c>
      <c r="I61" s="16" t="inlineStr">
        <is>
          <t>NO. 8 AWG 5KV, L-824 TYPE C CABLE, INSTALLED IN TRENCH, DUCT BANK OR CONDUIT, EDGE LIGHTS</t>
        </is>
      </c>
      <c r="J61" s="16" t="inlineStr">
        <is>
          <t>LF</t>
        </is>
      </c>
      <c r="K61" s="21" t="n">
        <v>14700</v>
      </c>
      <c r="L61" s="19" t="n">
        <v>2.7</v>
      </c>
      <c r="M61" s="19" t="n">
        <v>39690</v>
      </c>
      <c r="N61" s="16" t="inlineStr">
        <is>
          <t>Yes</t>
        </is>
      </c>
    </row>
    <row r="62">
      <c r="A62" s="16" t="inlineStr">
        <is>
          <t>NTB2521ZAPAT00053</t>
        </is>
      </c>
      <c r="B62" s="16" t="inlineStr">
        <is>
          <t>Zapata County Airport</t>
        </is>
      </c>
      <c r="C62" s="16" t="inlineStr">
        <is>
          <t>2521ZAPAT</t>
        </is>
      </c>
      <c r="D62" s="17" t="n">
        <v>46309.54166666666</v>
      </c>
      <c r="E62" s="16" t="inlineStr">
        <is>
          <t>Anderson Columbia Company, Inc.</t>
        </is>
      </c>
      <c r="F62" s="16" t="n">
        <v>1</v>
      </c>
      <c r="G62" s="19" t="inlineStr">
        <is>
          <t>Yes</t>
        </is>
      </c>
      <c r="H62" s="16" t="inlineStr">
        <is>
          <t>L-108-5.4</t>
        </is>
      </c>
      <c r="I62" s="16" t="inlineStr">
        <is>
          <t>NO. 8 AWG SKV, L-824 TYPE C CABLE, INSTALLED IN TRENCH, DUCT BANK, OR CONDUIT, PAPI-2</t>
        </is>
      </c>
      <c r="J62" s="16" t="inlineStr">
        <is>
          <t>LF</t>
        </is>
      </c>
      <c r="K62" s="21" t="n">
        <v>9070</v>
      </c>
      <c r="L62" s="19" t="n">
        <v>2.7</v>
      </c>
      <c r="M62" s="19" t="n">
        <v>24489</v>
      </c>
      <c r="N62" s="16" t="inlineStr">
        <is>
          <t>Yes</t>
        </is>
      </c>
    </row>
    <row r="63">
      <c r="A63" s="16" t="inlineStr">
        <is>
          <t>NTB2521ZAPAT00053</t>
        </is>
      </c>
      <c r="B63" s="16" t="inlineStr">
        <is>
          <t>Zapata County Airport</t>
        </is>
      </c>
      <c r="C63" s="16" t="inlineStr">
        <is>
          <t>2521ZAPAT</t>
        </is>
      </c>
      <c r="D63" s="17" t="n">
        <v>46309.54166666666</v>
      </c>
      <c r="E63" s="16" t="inlineStr">
        <is>
          <t>Anderson Columbia Company, Inc.</t>
        </is>
      </c>
      <c r="F63" s="16" t="n">
        <v>1</v>
      </c>
      <c r="G63" s="19" t="inlineStr">
        <is>
          <t>Yes</t>
        </is>
      </c>
      <c r="H63" s="16" t="inlineStr">
        <is>
          <t>L-108-5.5</t>
        </is>
      </c>
      <c r="I63" s="16" t="inlineStr">
        <is>
          <t>NO. 6 AWG, SOLID, BARE COPPER GROUND WIRE W/ GROUNDING RODS, INSTALLED ABOVE DUCT BANK OR CONDUIT, INCLUDING CONNECTIONS/TERMINATIONS</t>
        </is>
      </c>
      <c r="J63" s="16" t="inlineStr">
        <is>
          <t>LF</t>
        </is>
      </c>
      <c r="K63" s="21" t="n">
        <v>14470</v>
      </c>
      <c r="L63" s="19" t="n">
        <v>2.7</v>
      </c>
      <c r="M63" s="19" t="n">
        <v>39069</v>
      </c>
      <c r="N63" s="16" t="inlineStr">
        <is>
          <t>Yes</t>
        </is>
      </c>
    </row>
    <row r="64">
      <c r="A64" s="16" t="inlineStr">
        <is>
          <t>NTB2521ZAPAT00053</t>
        </is>
      </c>
      <c r="B64" s="16" t="inlineStr">
        <is>
          <t>Zapata County Airport</t>
        </is>
      </c>
      <c r="C64" s="16" t="inlineStr">
        <is>
          <t>2521ZAPAT</t>
        </is>
      </c>
      <c r="D64" s="17" t="n">
        <v>46309.54166666666</v>
      </c>
      <c r="E64" s="16" t="inlineStr">
        <is>
          <t>Anderson Columbia Company, Inc.</t>
        </is>
      </c>
      <c r="F64" s="16" t="n">
        <v>1</v>
      </c>
      <c r="G64" s="19" t="inlineStr">
        <is>
          <t>Yes</t>
        </is>
      </c>
      <c r="H64" s="16" t="inlineStr">
        <is>
          <t>L-108-5.6</t>
        </is>
      </c>
      <c r="I64" s="16" t="inlineStr">
        <is>
          <t>NO. 6 AWG, INSULATED, STRANDED EQUIPMENT BONDING, INSTALLED IN DUCT BANK OR CONDUIT</t>
        </is>
      </c>
      <c r="J64" s="16" t="inlineStr">
        <is>
          <t>LF</t>
        </is>
      </c>
      <c r="K64" s="21" t="n">
        <v>400</v>
      </c>
      <c r="L64" s="19" t="n">
        <v>2.7</v>
      </c>
      <c r="M64" s="19" t="n">
        <v>1080</v>
      </c>
      <c r="N64" s="16" t="inlineStr">
        <is>
          <t>Yes</t>
        </is>
      </c>
    </row>
    <row r="65">
      <c r="A65" s="16" t="inlineStr">
        <is>
          <t>NTB2521ZAPAT00053</t>
        </is>
      </c>
      <c r="B65" s="16" t="inlineStr">
        <is>
          <t>Zapata County Airport</t>
        </is>
      </c>
      <c r="C65" s="16" t="inlineStr">
        <is>
          <t>2521ZAPAT</t>
        </is>
      </c>
      <c r="D65" s="17" t="n">
        <v>46309.54166666666</v>
      </c>
      <c r="E65" s="16" t="inlineStr">
        <is>
          <t>Anderson Columbia Company, Inc.</t>
        </is>
      </c>
      <c r="F65" s="16" t="n">
        <v>1</v>
      </c>
      <c r="G65" s="19" t="inlineStr">
        <is>
          <t>Yes</t>
        </is>
      </c>
      <c r="H65" s="16" t="inlineStr">
        <is>
          <t>L-108-5.7</t>
        </is>
      </c>
      <c r="I65" s="16" t="inlineStr">
        <is>
          <t>INSTALL NO. 4/0 AWG VAULT COUNTERPOISE COMPLETE WITH TRENCH, GROUND RODS, AND EXOTHERMIC BONDING, AROUND NEW VAULT</t>
        </is>
      </c>
      <c r="J65" s="16" t="inlineStr">
        <is>
          <t>LF</t>
        </is>
      </c>
      <c r="K65" s="21" t="n">
        <v>60</v>
      </c>
      <c r="L65" s="19" t="n">
        <v>20</v>
      </c>
      <c r="M65" s="19" t="n">
        <v>1200</v>
      </c>
      <c r="N65" s="16" t="inlineStr">
        <is>
          <t>Yes</t>
        </is>
      </c>
    </row>
    <row r="66">
      <c r="A66" s="16" t="inlineStr">
        <is>
          <t>NTB2521ZAPAT00053</t>
        </is>
      </c>
      <c r="B66" s="16" t="inlineStr">
        <is>
          <t>Zapata County Airport</t>
        </is>
      </c>
      <c r="C66" s="16" t="inlineStr">
        <is>
          <t>2521ZAPAT</t>
        </is>
      </c>
      <c r="D66" s="17" t="n">
        <v>46309.54166666666</v>
      </c>
      <c r="E66" s="16" t="inlineStr">
        <is>
          <t>Anderson Columbia Company, Inc.</t>
        </is>
      </c>
      <c r="F66" s="16" t="n">
        <v>1</v>
      </c>
      <c r="G66" s="19" t="inlineStr">
        <is>
          <t>Yes</t>
        </is>
      </c>
      <c r="H66" s="16" t="inlineStr">
        <is>
          <t>L-109-7.1</t>
        </is>
      </c>
      <c r="I66" s="16" t="inlineStr">
        <is>
          <t>FURNISH AND INSTALL NEW 7.5KW, 6.6 AMP, THREE-STEP CONSTANT CURRENT REGULATOR WITH OUTPUT VOLTMETER AND AMMETER, MIRLS</t>
        </is>
      </c>
      <c r="J66" s="16" t="inlineStr">
        <is>
          <t>EA</t>
        </is>
      </c>
      <c r="K66" s="21" t="n">
        <v>1</v>
      </c>
      <c r="L66" s="19" t="n">
        <v>19000</v>
      </c>
      <c r="M66" s="19" t="n">
        <v>19000</v>
      </c>
      <c r="N66" s="16" t="inlineStr">
        <is>
          <t>Yes</t>
        </is>
      </c>
    </row>
    <row r="67">
      <c r="A67" s="16" t="inlineStr">
        <is>
          <t>NTB2521ZAPAT00053</t>
        </is>
      </c>
      <c r="B67" s="16" t="inlineStr">
        <is>
          <t>Zapata County Airport</t>
        </is>
      </c>
      <c r="C67" s="16" t="inlineStr">
        <is>
          <t>2521ZAPAT</t>
        </is>
      </c>
      <c r="D67" s="17" t="n">
        <v>46309.54166666666</v>
      </c>
      <c r="E67" s="16" t="inlineStr">
        <is>
          <t>Anderson Columbia Company, Inc.</t>
        </is>
      </c>
      <c r="F67" s="16" t="n">
        <v>1</v>
      </c>
      <c r="G67" s="19" t="inlineStr">
        <is>
          <t>Yes</t>
        </is>
      </c>
      <c r="H67" s="16" t="inlineStr">
        <is>
          <t>L-109-7.2</t>
        </is>
      </c>
      <c r="I67" s="16" t="inlineStr">
        <is>
          <t>FURNISH AND INSTALL 2.0KW, 6.6 AMP, THREE-STEP CONSTANT CURRENT REGULATOR WITH OUTPUT VOLTMETER AND AMMETER, PAPI-2</t>
        </is>
      </c>
      <c r="J67" s="16" t="inlineStr">
        <is>
          <t>EA</t>
        </is>
      </c>
      <c r="K67" s="21" t="n">
        <v>1</v>
      </c>
      <c r="L67" s="19" t="n">
        <v>14000</v>
      </c>
      <c r="M67" s="19" t="n">
        <v>14000</v>
      </c>
      <c r="N67" s="16" t="inlineStr">
        <is>
          <t>Yes</t>
        </is>
      </c>
    </row>
    <row r="68">
      <c r="A68" s="16" t="inlineStr">
        <is>
          <t>NTB2521ZAPAT00053</t>
        </is>
      </c>
      <c r="B68" s="16" t="inlineStr">
        <is>
          <t>Zapata County Airport</t>
        </is>
      </c>
      <c r="C68" s="16" t="inlineStr">
        <is>
          <t>2521ZAPAT</t>
        </is>
      </c>
      <c r="D68" s="17" t="n">
        <v>46309.54166666666</v>
      </c>
      <c r="E68" s="16" t="inlineStr">
        <is>
          <t>Anderson Columbia Company, Inc.</t>
        </is>
      </c>
      <c r="F68" s="16" t="n">
        <v>1</v>
      </c>
      <c r="G68" s="19" t="inlineStr">
        <is>
          <t>Yes</t>
        </is>
      </c>
      <c r="H68" s="16" t="inlineStr">
        <is>
          <t>L-109-7.3</t>
        </is>
      </c>
      <c r="I68" s="16" t="inlineStr">
        <is>
          <t>FURNISH AND INSTALL NEW L-854 RADIO CONTROLLER AND EXTERNAL ANTENNA MOUNTED ON VAULT</t>
        </is>
      </c>
      <c r="J68" s="16" t="inlineStr">
        <is>
          <t>EA</t>
        </is>
      </c>
      <c r="K68" s="21" t="n">
        <v>1</v>
      </c>
      <c r="L68" s="19" t="n">
        <v>7000</v>
      </c>
      <c r="M68" s="19" t="n">
        <v>7000</v>
      </c>
      <c r="N68" s="16" t="inlineStr">
        <is>
          <t>Yes</t>
        </is>
      </c>
    </row>
    <row r="69">
      <c r="A69" s="16" t="inlineStr">
        <is>
          <t>NTB2521ZAPAT00053</t>
        </is>
      </c>
      <c r="B69" s="16" t="inlineStr">
        <is>
          <t>Zapata County Airport</t>
        </is>
      </c>
      <c r="C69" s="16" t="inlineStr">
        <is>
          <t>2521ZAPAT</t>
        </is>
      </c>
      <c r="D69" s="17" t="n">
        <v>46309.54166666666</v>
      </c>
      <c r="E69" s="16" t="inlineStr">
        <is>
          <t>Anderson Columbia Company, Inc.</t>
        </is>
      </c>
      <c r="F69" s="16" t="n">
        <v>1</v>
      </c>
      <c r="G69" s="19" t="inlineStr">
        <is>
          <t>Yes</t>
        </is>
      </c>
      <c r="H69" s="16" t="inlineStr">
        <is>
          <t>L-109-PLANS</t>
        </is>
      </c>
      <c r="I69" s="16" t="inlineStr">
        <is>
          <t>FURNISH AND INSTALL NEW PHOTOELECTRIC CONTROLLER</t>
        </is>
      </c>
      <c r="J69" s="16" t="inlineStr">
        <is>
          <t>EA</t>
        </is>
      </c>
      <c r="K69" s="21" t="n">
        <v>1</v>
      </c>
      <c r="L69" s="19" t="n">
        <v>1800</v>
      </c>
      <c r="M69" s="19" t="n">
        <v>1800</v>
      </c>
      <c r="N69" s="16" t="inlineStr">
        <is>
          <t>Yes</t>
        </is>
      </c>
    </row>
    <row r="70">
      <c r="A70" s="16" t="inlineStr">
        <is>
          <t>NTB2521ZAPAT00053</t>
        </is>
      </c>
      <c r="B70" s="16" t="inlineStr">
        <is>
          <t>Zapata County Airport</t>
        </is>
      </c>
      <c r="C70" s="16" t="inlineStr">
        <is>
          <t>2521ZAPAT</t>
        </is>
      </c>
      <c r="D70" s="17" t="n">
        <v>46309.54166666666</v>
      </c>
      <c r="E70" s="16" t="inlineStr">
        <is>
          <t>Anderson Columbia Company, Inc.</t>
        </is>
      </c>
      <c r="F70" s="16" t="n">
        <v>1</v>
      </c>
      <c r="G70" s="19" t="inlineStr">
        <is>
          <t>Yes</t>
        </is>
      </c>
      <c r="H70" s="16" t="inlineStr">
        <is>
          <t>L-109-7.4</t>
        </is>
      </c>
      <c r="I70" s="16" t="inlineStr">
        <is>
          <t>CONSTRUCTION OF 10- X 12-FOOT PREFABRICATED CONCRETE BUILDING AND FOUNDATION IN PLACE</t>
        </is>
      </c>
      <c r="J70" s="16" t="inlineStr">
        <is>
          <t>LS</t>
        </is>
      </c>
      <c r="K70" s="21" t="n">
        <v>1</v>
      </c>
      <c r="L70" s="19" t="n">
        <v>200000</v>
      </c>
      <c r="M70" s="19" t="n">
        <v>200000</v>
      </c>
      <c r="N70" s="16" t="inlineStr">
        <is>
          <t>Yes</t>
        </is>
      </c>
    </row>
    <row r="71">
      <c r="A71" s="16" t="inlineStr">
        <is>
          <t>NTB2521ZAPAT00053</t>
        </is>
      </c>
      <c r="B71" s="16" t="inlineStr">
        <is>
          <t>Zapata County Airport</t>
        </is>
      </c>
      <c r="C71" s="16" t="inlineStr">
        <is>
          <t>2521ZAPAT</t>
        </is>
      </c>
      <c r="D71" s="17" t="n">
        <v>46309.54166666666</v>
      </c>
      <c r="E71" s="16" t="inlineStr">
        <is>
          <t>Anderson Columbia Company, Inc.</t>
        </is>
      </c>
      <c r="F71" s="16" t="n">
        <v>1</v>
      </c>
      <c r="G71" s="19" t="inlineStr">
        <is>
          <t>Yes</t>
        </is>
      </c>
      <c r="H71" s="16" t="inlineStr">
        <is>
          <t>L-110-5.1</t>
        </is>
      </c>
      <c r="I71" s="16" t="inlineStr">
        <is>
          <t>INSTALL NON-ENCASED ELECTRICAL CONDUIT, 2-INCH SCH 40 PVC, IN TRENCH</t>
        </is>
      </c>
      <c r="J71" s="16" t="inlineStr">
        <is>
          <t>LF</t>
        </is>
      </c>
      <c r="K71" s="21" t="n">
        <v>12300</v>
      </c>
      <c r="L71" s="19" t="n">
        <v>4.5</v>
      </c>
      <c r="M71" s="19" t="n">
        <v>55350</v>
      </c>
      <c r="N71" s="16" t="inlineStr">
        <is>
          <t>Yes</t>
        </is>
      </c>
    </row>
    <row r="72">
      <c r="A72" s="16" t="inlineStr">
        <is>
          <t>NTB2521ZAPAT00053</t>
        </is>
      </c>
      <c r="B72" s="16" t="inlineStr">
        <is>
          <t>Zapata County Airport</t>
        </is>
      </c>
      <c r="C72" s="16" t="inlineStr">
        <is>
          <t>2521ZAPAT</t>
        </is>
      </c>
      <c r="D72" s="17" t="n">
        <v>46309.54166666666</v>
      </c>
      <c r="E72" s="16" t="inlineStr">
        <is>
          <t>Anderson Columbia Company, Inc.</t>
        </is>
      </c>
      <c r="F72" s="16" t="n">
        <v>1</v>
      </c>
      <c r="G72" s="19" t="inlineStr">
        <is>
          <t>Yes</t>
        </is>
      </c>
      <c r="H72" s="16" t="inlineStr">
        <is>
          <t>L-110-5.2</t>
        </is>
      </c>
      <c r="I72" s="16" t="inlineStr">
        <is>
          <t>CONCRETE-ENCASED ELECTRICAL CONDUIT DUCT BANK, NEW TWO 2-INCH SCH 40, PVC, IN TRENCH</t>
        </is>
      </c>
      <c r="J72" s="16" t="inlineStr">
        <is>
          <t>LF</t>
        </is>
      </c>
      <c r="K72" s="21" t="n">
        <v>660</v>
      </c>
      <c r="L72" s="19" t="n">
        <v>32</v>
      </c>
      <c r="M72" s="19" t="n">
        <v>21120</v>
      </c>
      <c r="N72" s="16" t="inlineStr">
        <is>
          <t>Yes</t>
        </is>
      </c>
    </row>
    <row r="73">
      <c r="A73" s="16" t="inlineStr">
        <is>
          <t>NTB2521ZAPAT00053</t>
        </is>
      </c>
      <c r="B73" s="16" t="inlineStr">
        <is>
          <t>Zapata County Airport</t>
        </is>
      </c>
      <c r="C73" s="16" t="inlineStr">
        <is>
          <t>2521ZAPAT</t>
        </is>
      </c>
      <c r="D73" s="17" t="n">
        <v>46309.54166666666</v>
      </c>
      <c r="E73" s="16" t="inlineStr">
        <is>
          <t>Anderson Columbia Company, Inc.</t>
        </is>
      </c>
      <c r="F73" s="16" t="n">
        <v>1</v>
      </c>
      <c r="G73" s="19" t="inlineStr">
        <is>
          <t>Yes</t>
        </is>
      </c>
      <c r="H73" s="16" t="inlineStr">
        <is>
          <t>L-115.1</t>
        </is>
      </c>
      <c r="I73" s="16" t="inlineStr">
        <is>
          <t>ELECTRICAL HANDHOLE, 12X24 INCHES, L-867B, WITH CONCRETE ENCASEMENT</t>
        </is>
      </c>
      <c r="J73" s="16" t="inlineStr">
        <is>
          <t>EA</t>
        </is>
      </c>
      <c r="K73" s="21" t="n">
        <v>15</v>
      </c>
      <c r="L73" s="19" t="n">
        <v>2000</v>
      </c>
      <c r="M73" s="19" t="n">
        <v>30000</v>
      </c>
      <c r="N73" s="16" t="inlineStr">
        <is>
          <t>Yes</t>
        </is>
      </c>
    </row>
    <row r="74">
      <c r="A74" s="16" t="inlineStr">
        <is>
          <t>NTB2521ZAPAT00053</t>
        </is>
      </c>
      <c r="B74" s="16" t="inlineStr">
        <is>
          <t>Zapata County Airport</t>
        </is>
      </c>
      <c r="C74" s="16" t="inlineStr">
        <is>
          <t>2521ZAPAT</t>
        </is>
      </c>
      <c r="D74" s="17" t="n">
        <v>46309.54166666666</v>
      </c>
      <c r="E74" s="16" t="inlineStr">
        <is>
          <t>Anderson Columbia Company, Inc.</t>
        </is>
      </c>
      <c r="F74" s="16" t="n">
        <v>1</v>
      </c>
      <c r="G74" s="19" t="inlineStr">
        <is>
          <t>Yes</t>
        </is>
      </c>
      <c r="H74" s="16" t="inlineStr">
        <is>
          <t>L-115.2</t>
        </is>
      </c>
      <c r="I74" s="16" t="inlineStr">
        <is>
          <t>HEAVY-DUTY ELECTRICAL BOX WITH LID, 17X30X24 INCHES, AT VAULT BUILDING</t>
        </is>
      </c>
      <c r="J74" s="16" t="inlineStr">
        <is>
          <t>EA</t>
        </is>
      </c>
      <c r="K74" s="21" t="n">
        <v>3</v>
      </c>
      <c r="L74" s="19" t="n">
        <v>4500</v>
      </c>
      <c r="M74" s="19" t="n">
        <v>13500</v>
      </c>
      <c r="N74" s="16" t="inlineStr">
        <is>
          <t>Yes</t>
        </is>
      </c>
    </row>
    <row r="75">
      <c r="A75" s="16" t="inlineStr">
        <is>
          <t>NTB2521ZAPAT00053</t>
        </is>
      </c>
      <c r="B75" s="16" t="inlineStr">
        <is>
          <t>Zapata County Airport</t>
        </is>
      </c>
      <c r="C75" s="16" t="inlineStr">
        <is>
          <t>2521ZAPAT</t>
        </is>
      </c>
      <c r="D75" s="17" t="n">
        <v>46309.54166666666</v>
      </c>
      <c r="E75" s="16" t="inlineStr">
        <is>
          <t>Anderson Columbia Company, Inc.</t>
        </is>
      </c>
      <c r="F75" s="16" t="n">
        <v>1</v>
      </c>
      <c r="G75" s="19" t="inlineStr">
        <is>
          <t>Yes</t>
        </is>
      </c>
      <c r="H75" s="16" t="inlineStr">
        <is>
          <t>L-125.1</t>
        </is>
      </c>
      <c r="I75" s="16" t="inlineStr">
        <is>
          <t>REMOVE AND DISPOSE OFF SITE, EXISTING STAKE-MOUNTED RUNWAY EDGE ‘LIGHTS FIXTURES (INCLUDING ALL UNDERGROUND ‘CONDUIT, WIRING CONNECTIONS, AND BOXES), MIRLS</t>
        </is>
      </c>
      <c r="J75" s="16" t="n"/>
      <c r="K75" s="21" t="n">
        <v>118</v>
      </c>
      <c r="L75" s="19" t="n">
        <v>180</v>
      </c>
      <c r="M75" s="19" t="n">
        <v>21240</v>
      </c>
      <c r="N75" s="16" t="inlineStr">
        <is>
          <t>Yes</t>
        </is>
      </c>
    </row>
    <row r="76">
      <c r="A76" s="16" t="inlineStr">
        <is>
          <t>NTB2521ZAPAT00053</t>
        </is>
      </c>
      <c r="B76" s="16" t="inlineStr">
        <is>
          <t>Zapata County Airport</t>
        </is>
      </c>
      <c r="C76" s="16" t="inlineStr">
        <is>
          <t>2521ZAPAT</t>
        </is>
      </c>
      <c r="D76" s="17" t="n">
        <v>46309.54166666666</v>
      </c>
      <c r="E76" s="16" t="inlineStr">
        <is>
          <t>Anderson Columbia Company, Inc.</t>
        </is>
      </c>
      <c r="F76" s="16" t="n">
        <v>1</v>
      </c>
      <c r="G76" s="19" t="inlineStr">
        <is>
          <t>Yes</t>
        </is>
      </c>
      <c r="H76" s="16" t="inlineStr">
        <is>
          <t>L-125.2</t>
        </is>
      </c>
      <c r="I76" s="16" t="inlineStr">
        <is>
          <t>REMOVE AND DISPOSE OFF SITE, EXISTING DIRECTIONAL SIGNAGE {INCLUDING ALL UNDERGROUND CONDUIT, WIRING CONNECTIONS, BOXES, AND CONCRETE PADS)</t>
        </is>
      </c>
      <c r="J76" s="16" t="inlineStr">
        <is>
          <t>EA</t>
        </is>
      </c>
      <c r="K76" s="21" t="n">
        <v>11</v>
      </c>
      <c r="L76" s="19" t="n">
        <v>600</v>
      </c>
      <c r="M76" s="19" t="n">
        <v>6600</v>
      </c>
      <c r="N76" s="16" t="inlineStr">
        <is>
          <t>Yes</t>
        </is>
      </c>
    </row>
    <row r="77">
      <c r="A77" s="16" t="inlineStr">
        <is>
          <t>NTB2521ZAPAT00053</t>
        </is>
      </c>
      <c r="B77" s="16" t="inlineStr">
        <is>
          <t>Zapata County Airport</t>
        </is>
      </c>
      <c r="C77" s="16" t="inlineStr">
        <is>
          <t>2521ZAPAT</t>
        </is>
      </c>
      <c r="D77" s="17" t="n">
        <v>46309.54166666666</v>
      </c>
      <c r="E77" s="16" t="inlineStr">
        <is>
          <t>Anderson Columbia Company, Inc.</t>
        </is>
      </c>
      <c r="F77" s="16" t="n">
        <v>1</v>
      </c>
      <c r="G77" s="19" t="inlineStr">
        <is>
          <t>Yes</t>
        </is>
      </c>
      <c r="H77" s="16" t="inlineStr">
        <is>
          <t>L-125-3</t>
        </is>
      </c>
      <c r="I77" s="16" t="inlineStr">
        <is>
          <t>REMOVE AND DISPOSE OFF SITE, EXISTING REILS UNITS ON RWY 12-30 END {INCLUDING ALL UNDERGROUND CONDUIT, WIRING CONNECTIONS, BOXES, AND CONCRETE FOUNDATION PADS)</t>
        </is>
      </c>
      <c r="J77" s="16" t="inlineStr">
        <is>
          <t>EA</t>
        </is>
      </c>
      <c r="K77" s="21" t="n">
        <v>4</v>
      </c>
      <c r="L77" s="19" t="n">
        <v>900</v>
      </c>
      <c r="M77" s="19" t="n">
        <v>3600</v>
      </c>
      <c r="N77" s="16" t="inlineStr">
        <is>
          <t>Yes</t>
        </is>
      </c>
    </row>
    <row r="78">
      <c r="A78" s="16" t="inlineStr">
        <is>
          <t>NTB2521ZAPAT00053</t>
        </is>
      </c>
      <c r="B78" s="16" t="inlineStr">
        <is>
          <t>Zapata County Airport</t>
        </is>
      </c>
      <c r="C78" s="16" t="inlineStr">
        <is>
          <t>2521ZAPAT</t>
        </is>
      </c>
      <c r="D78" s="17" t="n">
        <v>46309.54166666666</v>
      </c>
      <c r="E78" s="16" t="inlineStr">
        <is>
          <t>Anderson Columbia Company, Inc.</t>
        </is>
      </c>
      <c r="F78" s="16" t="n">
        <v>1</v>
      </c>
      <c r="G78" s="19" t="inlineStr">
        <is>
          <t>Yes</t>
        </is>
      </c>
      <c r="H78" s="16" t="inlineStr">
        <is>
          <t>L-125-4</t>
        </is>
      </c>
      <c r="I78" s="16" t="inlineStr">
        <is>
          <t>L-861, INSTALL LED MEDIUM INTENSITY RUNWAY EDGE LIGHTS (WHITE/WHITE, 6-UNITS) AND (YELLOW/WHITE, 39-UNITS), BASE MOUNTED ON CONCRETE-ENCASED CAN</t>
        </is>
      </c>
      <c r="J78" s="16" t="inlineStr">
        <is>
          <t>EA</t>
        </is>
      </c>
      <c r="K78" s="21" t="n">
        <v>45</v>
      </c>
      <c r="L78" s="19" t="n">
        <v>2600</v>
      </c>
      <c r="M78" s="19" t="n">
        <v>117000</v>
      </c>
      <c r="N78" s="16" t="inlineStr">
        <is>
          <t>Yes</t>
        </is>
      </c>
    </row>
    <row r="79">
      <c r="A79" s="16" t="inlineStr">
        <is>
          <t>NTB2521ZAPAT00053</t>
        </is>
      </c>
      <c r="B79" s="16" t="inlineStr">
        <is>
          <t>Zapata County Airport</t>
        </is>
      </c>
      <c r="C79" s="16" t="inlineStr">
        <is>
          <t>2521ZAPAT</t>
        </is>
      </c>
      <c r="D79" s="17" t="n">
        <v>46309.54166666666</v>
      </c>
      <c r="E79" s="16" t="inlineStr">
        <is>
          <t>Anderson Columbia Company, Inc.</t>
        </is>
      </c>
      <c r="F79" s="16" t="n">
        <v>1</v>
      </c>
      <c r="G79" s="19" t="inlineStr">
        <is>
          <t>Yes</t>
        </is>
      </c>
      <c r="H79" s="16" t="inlineStr">
        <is>
          <t>L-125-5</t>
        </is>
      </c>
      <c r="I79" s="16" t="inlineStr">
        <is>
          <t>INSTALL LED MEDIUM INTENSITY RUNWAY THRESHOLD LIGHTS (RED/RED, 16- UNITS), (BLANK/GREEN, 12-UNITS), AND EDGE LIGHTS (YELLOW/GREEN, 4-UNITS) BASED MOUNTED ON CONCRETE-ENCASED CAN, AS SPECIFIED ON PLANS</t>
        </is>
      </c>
      <c r="J79" s="16" t="inlineStr">
        <is>
          <t>EA</t>
        </is>
      </c>
      <c r="K79" s="21" t="n">
        <v>32</v>
      </c>
      <c r="L79" s="19" t="n">
        <v>2600</v>
      </c>
      <c r="M79" s="19" t="n">
        <v>83200</v>
      </c>
      <c r="N79" s="16" t="inlineStr">
        <is>
          <t>Yes</t>
        </is>
      </c>
    </row>
    <row r="80">
      <c r="A80" s="16" t="inlineStr">
        <is>
          <t>NTB2521ZAPAT00053</t>
        </is>
      </c>
      <c r="B80" s="16" t="inlineStr">
        <is>
          <t>Zapata County Airport</t>
        </is>
      </c>
      <c r="C80" s="16" t="inlineStr">
        <is>
          <t>2521ZAPAT</t>
        </is>
      </c>
      <c r="D80" s="17" t="n">
        <v>46309.54166666666</v>
      </c>
      <c r="E80" s="16" t="inlineStr">
        <is>
          <t>Anderson Columbia Company, Inc.</t>
        </is>
      </c>
      <c r="F80" s="16" t="n">
        <v>1</v>
      </c>
      <c r="G80" s="19" t="inlineStr">
        <is>
          <t>Yes</t>
        </is>
      </c>
      <c r="H80" s="16" t="inlineStr">
        <is>
          <t>L-125-6</t>
        </is>
      </c>
      <c r="I80" s="16" t="inlineStr">
        <is>
          <t>ONE MODULE, SIZE 1, STYLE 2, INTERNALLY LIGHTED LED GUIDANCE SIGN, BASE MOUNTED ON CONCRETE-ENCASED CAN</t>
        </is>
      </c>
      <c r="J80" s="16" t="inlineStr">
        <is>
          <t>EA</t>
        </is>
      </c>
      <c r="K80" s="21" t="n">
        <v>10</v>
      </c>
      <c r="L80" s="19" t="n">
        <v>7000</v>
      </c>
      <c r="M80" s="19" t="n">
        <v>70000</v>
      </c>
      <c r="N80" s="16" t="inlineStr">
        <is>
          <t>Yes</t>
        </is>
      </c>
    </row>
    <row r="81">
      <c r="A81" s="16" t="inlineStr">
        <is>
          <t>NTB2521ZAPAT00053</t>
        </is>
      </c>
      <c r="B81" s="16" t="inlineStr">
        <is>
          <t>Zapata County Airport</t>
        </is>
      </c>
      <c r="C81" s="16" t="inlineStr">
        <is>
          <t>2521ZAPAT</t>
        </is>
      </c>
      <c r="D81" s="17" t="n">
        <v>46309.54166666666</v>
      </c>
      <c r="E81" s="16" t="inlineStr">
        <is>
          <t>Anderson Columbia Company, Inc.</t>
        </is>
      </c>
      <c r="F81" s="16" t="n">
        <v>1</v>
      </c>
      <c r="G81" s="19" t="inlineStr">
        <is>
          <t>Yes</t>
        </is>
      </c>
      <c r="H81" s="16" t="inlineStr">
        <is>
          <t>L-125-8</t>
        </is>
      </c>
      <c r="I81" s="16" t="inlineStr">
        <is>
          <t>THREE MODULE, SIZE 1, STYLE 2, INTERNALLY LIGHTED LED GUIDANCE SIGN, BASE MOUNTED ON CONCRETE-ENCASED CAN</t>
        </is>
      </c>
      <c r="J81" s="16" t="inlineStr">
        <is>
          <t>EA</t>
        </is>
      </c>
      <c r="K81" s="21" t="n">
        <v>1</v>
      </c>
      <c r="L81" s="19" t="n">
        <v>11000</v>
      </c>
      <c r="M81" s="19" t="n">
        <v>11000</v>
      </c>
      <c r="N81" s="16" t="inlineStr">
        <is>
          <t>Yes</t>
        </is>
      </c>
    </row>
    <row r="82">
      <c r="A82" s="16" t="inlineStr">
        <is>
          <t>NTB2521ZAPAT00053</t>
        </is>
      </c>
      <c r="B82" s="16" t="inlineStr">
        <is>
          <t>Zapata County Airport</t>
        </is>
      </c>
      <c r="C82" s="16" t="inlineStr">
        <is>
          <t>2521ZAPAT</t>
        </is>
      </c>
      <c r="D82" s="17" t="n">
        <v>46309.54166666666</v>
      </c>
      <c r="E82" s="16" t="inlineStr">
        <is>
          <t>Anderson Columbia Company, Inc.</t>
        </is>
      </c>
      <c r="F82" s="16" t="n">
        <v>1</v>
      </c>
      <c r="G82" s="19" t="inlineStr">
        <is>
          <t>Yes</t>
        </is>
      </c>
      <c r="H82" s="16" t="inlineStr">
        <is>
          <t>L-125-9</t>
        </is>
      </c>
      <c r="I82" s="16" t="inlineStr">
        <is>
          <t>INSTALL NEW L-881, PAPI-2, STYLE B, LED TILUMINATION, EQUIPPED WITH INTERNAL ADJUSTABLE BAFFLES, MOUNTED ON CONCRETE FOUNDATIONS, COMPLETE, INCLUDING ADJUSTMENTS DURING FAA FLIGHT INSPECTION</t>
        </is>
      </c>
      <c r="J82" s="16" t="inlineStr">
        <is>
          <t>EA</t>
        </is>
      </c>
      <c r="K82" s="21" t="n">
        <v>2</v>
      </c>
      <c r="L82" s="19" t="n">
        <v>28000</v>
      </c>
      <c r="M82" s="19" t="n">
        <v>56000</v>
      </c>
      <c r="N82" s="16" t="inlineStr">
        <is>
          <t>Yes</t>
        </is>
      </c>
    </row>
    <row r="83">
      <c r="A83" s="16" t="inlineStr">
        <is>
          <t>NTB2521ZAPAT00053</t>
        </is>
      </c>
      <c r="B83" s="16" t="inlineStr">
        <is>
          <t>Zapata County Airport</t>
        </is>
      </c>
      <c r="C83" s="16" t="inlineStr">
        <is>
          <t>2521ZAPAT</t>
        </is>
      </c>
      <c r="D83" s="17" t="n">
        <v>46309.54166666666</v>
      </c>
      <c r="E83" s="16" t="inlineStr">
        <is>
          <t>Anderson Columbia Company, Inc.</t>
        </is>
      </c>
      <c r="F83" s="16" t="n">
        <v>1</v>
      </c>
      <c r="G83" s="19" t="inlineStr">
        <is>
          <t>Yes</t>
        </is>
      </c>
      <c r="H83" s="16" t="inlineStr">
        <is>
          <t>L-125-10</t>
        </is>
      </c>
      <c r="I83" s="16" t="inlineStr">
        <is>
          <t>INSTALL L-853 TAXIWAY REFLECTIVE MARKERS (BLUE 86-UNITS AND GREEN 53-UNITS) AS SPECIFIED ON PLANS, COMPLETE IN PLACE</t>
        </is>
      </c>
      <c r="J83" s="16" t="inlineStr">
        <is>
          <t>EA</t>
        </is>
      </c>
      <c r="K83" s="21" t="n">
        <v>139</v>
      </c>
      <c r="L83" s="19" t="n">
        <v>20</v>
      </c>
      <c r="M83" s="19" t="n">
        <v>2780</v>
      </c>
      <c r="N83" s="16" t="inlineStr">
        <is>
          <t>Yes</t>
        </is>
      </c>
    </row>
    <row r="84">
      <c r="A84" s="16" t="inlineStr">
        <is>
          <t>NTB2521ZAPAT00053</t>
        </is>
      </c>
      <c r="B84" s="16" t="inlineStr">
        <is>
          <t>Zapata County Airport</t>
        </is>
      </c>
      <c r="C84" s="16" t="inlineStr">
        <is>
          <t>2521ZAPAT</t>
        </is>
      </c>
      <c r="D84" s="17" t="n">
        <v>46309.54166666666</v>
      </c>
      <c r="E84" s="16" t="inlineStr">
        <is>
          <t>Anderson Columbia Company, Inc.</t>
        </is>
      </c>
      <c r="F84" s="16" t="n">
        <v>1</v>
      </c>
      <c r="G84" s="19" t="inlineStr">
        <is>
          <t>Yes</t>
        </is>
      </c>
      <c r="H84" s="16" t="inlineStr">
        <is>
          <t>P-610-6.2</t>
        </is>
      </c>
      <c r="I84" s="16" t="inlineStr">
        <is>
          <t>PREPARE, INSTALL 100- X 10- FOOT THRESHOLD CONCRETE PAD AROUND L-806 LIGHT BASES, COMPLETE IN PLACE</t>
        </is>
      </c>
      <c r="J84" s="16" t="inlineStr">
        <is>
          <t>EA</t>
        </is>
      </c>
      <c r="K84" s="21" t="n">
        <v>2</v>
      </c>
      <c r="L84" s="19" t="n">
        <v>31500</v>
      </c>
      <c r="M84" s="19" t="n">
        <v>63000</v>
      </c>
      <c r="N84" s="16" t="inlineStr">
        <is>
          <t>Yes</t>
        </is>
      </c>
    </row>
    <row r="85">
      <c r="A85" s="16" t="inlineStr">
        <is>
          <t>NTB2521ZAPAT00053</t>
        </is>
      </c>
      <c r="B85" s="16" t="inlineStr">
        <is>
          <t>Zapata County Airport</t>
        </is>
      </c>
      <c r="C85" s="16" t="inlineStr">
        <is>
          <t>2521ZAPAT</t>
        </is>
      </c>
      <c r="D85" s="17" t="n">
        <v>46309.54166666666</v>
      </c>
      <c r="E85" s="16" t="inlineStr">
        <is>
          <t>Anderson Columbia Company, Inc.</t>
        </is>
      </c>
      <c r="F85" s="16" t="n">
        <v>1</v>
      </c>
      <c r="G85" s="19" t="inlineStr">
        <is>
          <t>Yes</t>
        </is>
      </c>
      <c r="H85" s="16" t="inlineStr">
        <is>
          <t>P-610-6.3</t>
        </is>
      </c>
      <c r="I85" s="16" t="inlineStr">
        <is>
          <t>PREPARE, INSTALL 40- X 10-FOOT DISPLACED THRESHOLD CONCRETE PAD AROUND L-806 LIGHT BASES, COMPLETE IN PLACE</t>
        </is>
      </c>
      <c r="J85" s="16" t="inlineStr">
        <is>
          <t>EA</t>
        </is>
      </c>
      <c r="K85" s="21" t="n">
        <v>4</v>
      </c>
      <c r="L85" s="19" t="n">
        <v>13500</v>
      </c>
      <c r="M85" s="19" t="n">
        <v>54000</v>
      </c>
      <c r="N85" s="16" t="inlineStr">
        <is>
          <t>Yes</t>
        </is>
      </c>
    </row>
    <row r="86">
      <c r="A86" s="16" t="inlineStr">
        <is>
          <t>NTB2521ZAPAT00053</t>
        </is>
      </c>
      <c r="B86" s="16" t="inlineStr">
        <is>
          <t>Zapata County Airport</t>
        </is>
      </c>
      <c r="C86" s="16" t="inlineStr">
        <is>
          <t>2521ZAPAT</t>
        </is>
      </c>
      <c r="D86" s="17" t="n">
        <v>46309.54166666666</v>
      </c>
      <c r="E86" s="16" t="inlineStr">
        <is>
          <t>Sterling Delaware Holding Company</t>
        </is>
      </c>
      <c r="F86" s="16" t="n">
        <v>2</v>
      </c>
      <c r="G86" s="19" t="inlineStr">
        <is>
          <t>No</t>
        </is>
      </c>
      <c r="H86" s="16" t="inlineStr">
        <is>
          <t>C-105</t>
        </is>
      </c>
      <c r="I86" s="16" t="inlineStr">
        <is>
          <t>CONTRACTOR MOBILIZATION (8%)</t>
        </is>
      </c>
      <c r="J86" s="16" t="inlineStr">
        <is>
          <t>LS</t>
        </is>
      </c>
      <c r="K86" s="21" t="n">
        <v>1</v>
      </c>
      <c r="L86" s="19" t="n">
        <v>500000</v>
      </c>
      <c r="M86" s="19" t="n">
        <v>500000</v>
      </c>
      <c r="N86" s="16" t="inlineStr">
        <is>
          <t>Yes</t>
        </is>
      </c>
    </row>
    <row r="87">
      <c r="A87" s="16" t="inlineStr">
        <is>
          <t>NTB2521ZAPAT00053</t>
        </is>
      </c>
      <c r="B87" s="16" t="inlineStr">
        <is>
          <t>Zapata County Airport</t>
        </is>
      </c>
      <c r="C87" s="16" t="inlineStr">
        <is>
          <t>2521ZAPAT</t>
        </is>
      </c>
      <c r="D87" s="17" t="n">
        <v>46309.54166666666</v>
      </c>
      <c r="E87" s="16" t="inlineStr">
        <is>
          <t>Sterling Delaware Holding Company</t>
        </is>
      </c>
      <c r="F87" s="16" t="n">
        <v>2</v>
      </c>
      <c r="G87" s="19" t="inlineStr">
        <is>
          <t>No</t>
        </is>
      </c>
      <c r="H87" s="16" t="inlineStr">
        <is>
          <t>C-100</t>
        </is>
      </c>
      <c r="I87" s="16" t="inlineStr">
        <is>
          <t>CONTRACTOR QUALITY CONTROL PROGRAM</t>
        </is>
      </c>
      <c r="J87" s="16" t="inlineStr">
        <is>
          <t>LS</t>
        </is>
      </c>
      <c r="K87" s="21" t="n">
        <v>1</v>
      </c>
      <c r="L87" s="19" t="n">
        <v>150000</v>
      </c>
      <c r="M87" s="19" t="n">
        <v>150000</v>
      </c>
      <c r="N87" s="16" t="inlineStr">
        <is>
          <t>Yes</t>
        </is>
      </c>
    </row>
    <row r="88">
      <c r="A88" s="16" t="inlineStr">
        <is>
          <t>NTB2521ZAPAT00053</t>
        </is>
      </c>
      <c r="B88" s="16" t="inlineStr">
        <is>
          <t>Zapata County Airport</t>
        </is>
      </c>
      <c r="C88" s="16" t="inlineStr">
        <is>
          <t>2521ZAPAT</t>
        </is>
      </c>
      <c r="D88" s="17" t="n">
        <v>46309.54166666666</v>
      </c>
      <c r="E88" s="16" t="inlineStr">
        <is>
          <t>Sterling Delaware Holding Company</t>
        </is>
      </c>
      <c r="F88" s="16" t="n">
        <v>2</v>
      </c>
      <c r="G88" s="19" t="inlineStr">
        <is>
          <t>No</t>
        </is>
      </c>
      <c r="H88" s="16" t="inlineStr">
        <is>
          <t>C-102-5.1a</t>
        </is>
      </c>
      <c r="I88" s="16" t="inlineStr">
        <is>
          <t>TEMPORARY AIR AND WATER POLLUTION, SOIL EROSION, AND SILTATION CONTROL</t>
        </is>
      </c>
      <c r="J88" s="16" t="inlineStr">
        <is>
          <t>LS</t>
        </is>
      </c>
      <c r="K88" s="21" t="n">
        <v>1</v>
      </c>
      <c r="L88" s="19" t="n">
        <v>98000</v>
      </c>
      <c r="M88" s="19" t="n">
        <v>98000</v>
      </c>
      <c r="N88" s="16" t="inlineStr">
        <is>
          <t>Yes</t>
        </is>
      </c>
    </row>
    <row r="89">
      <c r="A89" s="16" t="inlineStr">
        <is>
          <t>NTB2521ZAPAT00053</t>
        </is>
      </c>
      <c r="B89" s="16" t="inlineStr">
        <is>
          <t>Zapata County Airport</t>
        </is>
      </c>
      <c r="C89" s="16" t="inlineStr">
        <is>
          <t>2521ZAPAT</t>
        </is>
      </c>
      <c r="D89" s="17" t="n">
        <v>46309.54166666666</v>
      </c>
      <c r="E89" s="16" t="inlineStr">
        <is>
          <t>Sterling Delaware Holding Company</t>
        </is>
      </c>
      <c r="F89" s="16" t="n">
        <v>2</v>
      </c>
      <c r="G89" s="19" t="inlineStr">
        <is>
          <t>No</t>
        </is>
      </c>
      <c r="H89" s="16" t="inlineStr">
        <is>
          <t>P-140-3.1</t>
        </is>
      </c>
      <c r="I89" s="16" t="inlineStr">
        <is>
          <t>TEMPORARY BARRICADES AND MARKING FOR PAVEMENT CLOSURE</t>
        </is>
      </c>
      <c r="J89" s="16" t="inlineStr">
        <is>
          <t>LS</t>
        </is>
      </c>
      <c r="K89" s="21" t="n">
        <v>1</v>
      </c>
      <c r="L89" s="19" t="n">
        <v>6800</v>
      </c>
      <c r="M89" s="19" t="n">
        <v>6800</v>
      </c>
      <c r="N89" s="16" t="inlineStr">
        <is>
          <t>Yes</t>
        </is>
      </c>
    </row>
    <row r="90">
      <c r="A90" s="16" t="inlineStr">
        <is>
          <t>NTB2521ZAPAT00053</t>
        </is>
      </c>
      <c r="B90" s="16" t="inlineStr">
        <is>
          <t>Zapata County Airport</t>
        </is>
      </c>
      <c r="C90" s="16" t="inlineStr">
        <is>
          <t>2521ZAPAT</t>
        </is>
      </c>
      <c r="D90" s="17" t="n">
        <v>46309.54166666666</v>
      </c>
      <c r="E90" s="16" t="inlineStr">
        <is>
          <t>Sterling Delaware Holding Company</t>
        </is>
      </c>
      <c r="F90" s="16" t="n">
        <v>2</v>
      </c>
      <c r="G90" s="19" t="inlineStr">
        <is>
          <t>No</t>
        </is>
      </c>
      <c r="H90" s="16" t="inlineStr">
        <is>
          <t>P-101-5.1</t>
        </is>
      </c>
      <c r="I90" s="16" t="inlineStr">
        <is>
          <t>PAVEMENT REMOVAL AND STOCKPILE</t>
        </is>
      </c>
      <c r="J90" s="16" t="inlineStr">
        <is>
          <t>SY</t>
        </is>
      </c>
      <c r="K90" s="21" t="n">
        <v>44600</v>
      </c>
      <c r="L90" s="19" t="n">
        <v>1.22</v>
      </c>
      <c r="M90" s="19" t="n">
        <v>54412</v>
      </c>
      <c r="N90" s="16" t="inlineStr">
        <is>
          <t>Yes</t>
        </is>
      </c>
    </row>
    <row r="91">
      <c r="A91" s="16" t="inlineStr">
        <is>
          <t>NTB2521ZAPAT00053</t>
        </is>
      </c>
      <c r="B91" s="16" t="inlineStr">
        <is>
          <t>Zapata County Airport</t>
        </is>
      </c>
      <c r="C91" s="16" t="inlineStr">
        <is>
          <t>2521ZAPAT</t>
        </is>
      </c>
      <c r="D91" s="17" t="n">
        <v>46309.54166666666</v>
      </c>
      <c r="E91" s="16" t="inlineStr">
        <is>
          <t>Sterling Delaware Holding Company</t>
        </is>
      </c>
      <c r="F91" s="16" t="n">
        <v>2</v>
      </c>
      <c r="G91" s="19" t="inlineStr">
        <is>
          <t>No</t>
        </is>
      </c>
      <c r="H91" s="16" t="inlineStr">
        <is>
          <t>P-152-4.1</t>
        </is>
      </c>
      <c r="I91" s="16" t="inlineStr">
        <is>
          <t>DRAINAGE EXCAVATION AND TRENCHING</t>
        </is>
      </c>
      <c r="J91" s="16" t="inlineStr">
        <is>
          <t>CY</t>
        </is>
      </c>
      <c r="K91" s="21" t="n">
        <v>15</v>
      </c>
      <c r="L91" s="19" t="n">
        <v>100</v>
      </c>
      <c r="M91" s="19" t="n">
        <v>1500</v>
      </c>
      <c r="N91" s="16" t="inlineStr">
        <is>
          <t>Yes</t>
        </is>
      </c>
    </row>
    <row r="92">
      <c r="A92" s="16" t="inlineStr">
        <is>
          <t>NTB2521ZAPAT00053</t>
        </is>
      </c>
      <c r="B92" s="16" t="inlineStr">
        <is>
          <t>Zapata County Airport</t>
        </is>
      </c>
      <c r="C92" s="16" t="inlineStr">
        <is>
          <t>2521ZAPAT</t>
        </is>
      </c>
      <c r="D92" s="17" t="n">
        <v>46309.54166666666</v>
      </c>
      <c r="E92" s="16" t="inlineStr">
        <is>
          <t>Sterling Delaware Holding Company</t>
        </is>
      </c>
      <c r="F92" s="16" t="n">
        <v>2</v>
      </c>
      <c r="G92" s="19" t="inlineStr">
        <is>
          <t>No</t>
        </is>
      </c>
      <c r="H92" s="16" t="inlineStr">
        <is>
          <t>P-152-4.4</t>
        </is>
      </c>
      <c r="I92" s="16" t="inlineStr">
        <is>
          <t>EXCAVATION, GRADING, AND SUBGRADE PREPARATION</t>
        </is>
      </c>
      <c r="J92" s="16" t="inlineStr">
        <is>
          <t>SY</t>
        </is>
      </c>
      <c r="K92" s="21" t="n">
        <v>60410</v>
      </c>
      <c r="L92" s="19" t="n">
        <v>4.7</v>
      </c>
      <c r="M92" s="19" t="n">
        <v>283927</v>
      </c>
      <c r="N92" s="16" t="inlineStr">
        <is>
          <t>Yes</t>
        </is>
      </c>
    </row>
    <row r="93">
      <c r="A93" s="16" t="inlineStr">
        <is>
          <t>NTB2521ZAPAT00053</t>
        </is>
      </c>
      <c r="B93" s="16" t="inlineStr">
        <is>
          <t>Zapata County Airport</t>
        </is>
      </c>
      <c r="C93" s="16" t="inlineStr">
        <is>
          <t>2521ZAPAT</t>
        </is>
      </c>
      <c r="D93" s="17" t="n">
        <v>46309.54166666666</v>
      </c>
      <c r="E93" s="16" t="inlineStr">
        <is>
          <t>Sterling Delaware Holding Company</t>
        </is>
      </c>
      <c r="F93" s="16" t="n">
        <v>2</v>
      </c>
      <c r="G93" s="19" t="inlineStr">
        <is>
          <t>No</t>
        </is>
      </c>
      <c r="H93" s="16" t="inlineStr">
        <is>
          <t>P-152-4.2</t>
        </is>
      </c>
      <c r="I93" s="16" t="inlineStr">
        <is>
          <t>EMBANKMENT IN PLACE</t>
        </is>
      </c>
      <c r="J93" s="16" t="inlineStr">
        <is>
          <t>CY</t>
        </is>
      </c>
      <c r="K93" s="21" t="n">
        <v>880</v>
      </c>
      <c r="L93" s="19" t="n">
        <v>20</v>
      </c>
      <c r="M93" s="19" t="n">
        <v>17600</v>
      </c>
      <c r="N93" s="16" t="inlineStr">
        <is>
          <t>Yes</t>
        </is>
      </c>
    </row>
    <row r="94">
      <c r="A94" s="16" t="inlineStr">
        <is>
          <t>NTB2521ZAPAT00053</t>
        </is>
      </c>
      <c r="B94" s="16" t="inlineStr">
        <is>
          <t>Zapata County Airport</t>
        </is>
      </c>
      <c r="C94" s="16" t="inlineStr">
        <is>
          <t>2521ZAPAT</t>
        </is>
      </c>
      <c r="D94" s="17" t="n">
        <v>46309.54166666666</v>
      </c>
      <c r="E94" s="16" t="inlineStr">
        <is>
          <t>Sterling Delaware Holding Company</t>
        </is>
      </c>
      <c r="F94" s="16" t="n">
        <v>2</v>
      </c>
      <c r="G94" s="19" t="inlineStr">
        <is>
          <t>No</t>
        </is>
      </c>
      <c r="H94" s="16" t="inlineStr">
        <is>
          <t>P-152-4.5</t>
        </is>
      </c>
      <c r="I94" s="16" t="inlineStr">
        <is>
          <t>GRADING IN UNPAVED AREAS</t>
        </is>
      </c>
      <c r="J94" s="16" t="inlineStr">
        <is>
          <t>SY</t>
        </is>
      </c>
      <c r="K94" s="21" t="n">
        <v>51550</v>
      </c>
      <c r="L94" s="19" t="n">
        <v>3.5</v>
      </c>
      <c r="M94" s="19" t="n">
        <v>180425</v>
      </c>
      <c r="N94" s="16" t="inlineStr">
        <is>
          <t>Yes</t>
        </is>
      </c>
    </row>
    <row r="95">
      <c r="A95" s="16" t="inlineStr">
        <is>
          <t>NTB2521ZAPAT00053</t>
        </is>
      </c>
      <c r="B95" s="16" t="inlineStr">
        <is>
          <t>Zapata County Airport</t>
        </is>
      </c>
      <c r="C95" s="16" t="inlineStr">
        <is>
          <t>2521ZAPAT</t>
        </is>
      </c>
      <c r="D95" s="17" t="n">
        <v>46309.54166666666</v>
      </c>
      <c r="E95" s="16" t="inlineStr">
        <is>
          <t>Sterling Delaware Holding Company</t>
        </is>
      </c>
      <c r="F95" s="16" t="n">
        <v>2</v>
      </c>
      <c r="G95" s="19" t="inlineStr">
        <is>
          <t>No</t>
        </is>
      </c>
      <c r="H95" s="16" t="inlineStr">
        <is>
          <t>P-152-4.6</t>
        </is>
      </c>
      <c r="I95" s="16" t="inlineStr">
        <is>
          <t>TOPSOIL REMOVAL AND STOCKPILE (4-5 INCHES) TO REUSE</t>
        </is>
      </c>
      <c r="J95" s="16" t="inlineStr">
        <is>
          <t>SY</t>
        </is>
      </c>
      <c r="K95" s="21" t="n">
        <v>23620</v>
      </c>
      <c r="L95" s="19" t="n">
        <v>0.9</v>
      </c>
      <c r="M95" s="19" t="n">
        <v>21258</v>
      </c>
      <c r="N95" s="16" t="inlineStr">
        <is>
          <t>Yes</t>
        </is>
      </c>
    </row>
    <row r="96">
      <c r="A96" s="16" t="inlineStr">
        <is>
          <t>NTB2521ZAPAT00053</t>
        </is>
      </c>
      <c r="B96" s="16" t="inlineStr">
        <is>
          <t>Zapata County Airport</t>
        </is>
      </c>
      <c r="C96" s="16" t="inlineStr">
        <is>
          <t>2521ZAPAT</t>
        </is>
      </c>
      <c r="D96" s="17" t="n">
        <v>46309.54166666666</v>
      </c>
      <c r="E96" s="16" t="inlineStr">
        <is>
          <t>Sterling Delaware Holding Company</t>
        </is>
      </c>
      <c r="F96" s="16" t="n">
        <v>2</v>
      </c>
      <c r="G96" s="19" t="inlineStr">
        <is>
          <t>No</t>
        </is>
      </c>
      <c r="H96" s="16" t="inlineStr">
        <is>
          <t>P-602-5.1</t>
        </is>
      </c>
      <c r="I96" s="16" t="inlineStr">
        <is>
          <t>EMULSIFIED ASPHALT PRIME COAT (0.3 GAL/ SY)</t>
        </is>
      </c>
      <c r="J96" s="16" t="inlineStr">
        <is>
          <t>GAL</t>
        </is>
      </c>
      <c r="K96" s="21" t="n">
        <v>17680</v>
      </c>
      <c r="L96" s="19" t="n">
        <v>6</v>
      </c>
      <c r="M96" s="19" t="n">
        <v>106080</v>
      </c>
      <c r="N96" s="16" t="inlineStr">
        <is>
          <t>Yes</t>
        </is>
      </c>
    </row>
    <row r="97">
      <c r="A97" s="16" t="inlineStr">
        <is>
          <t>NTB2521ZAPAT00053</t>
        </is>
      </c>
      <c r="B97" s="16" t="inlineStr">
        <is>
          <t>Zapata County Airport</t>
        </is>
      </c>
      <c r="C97" s="16" t="inlineStr">
        <is>
          <t>2521ZAPAT</t>
        </is>
      </c>
      <c r="D97" s="17" t="n">
        <v>46309.54166666666</v>
      </c>
      <c r="E97" s="16" t="inlineStr">
        <is>
          <t>Sterling Delaware Holding Company</t>
        </is>
      </c>
      <c r="F97" s="16" t="n">
        <v>2</v>
      </c>
      <c r="G97" s="19" t="inlineStr">
        <is>
          <t>No</t>
        </is>
      </c>
      <c r="H97" s="16" t="inlineStr">
        <is>
          <t>P-603-5.1</t>
        </is>
      </c>
      <c r="I97" s="16" t="inlineStr">
        <is>
          <t>EMULSIFIED ASPHALT TACK COAT (0.10 GAL/ SY)</t>
        </is>
      </c>
      <c r="J97" s="16" t="inlineStr">
        <is>
          <t>GAL</t>
        </is>
      </c>
      <c r="K97" s="21" t="n">
        <v>5900</v>
      </c>
      <c r="L97" s="19" t="n">
        <v>5</v>
      </c>
      <c r="M97" s="19" t="n">
        <v>29500</v>
      </c>
      <c r="N97" s="16" t="inlineStr">
        <is>
          <t>Yes</t>
        </is>
      </c>
    </row>
    <row r="98">
      <c r="A98" s="16" t="inlineStr">
        <is>
          <t>NTB2521ZAPAT00053</t>
        </is>
      </c>
      <c r="B98" s="16" t="inlineStr">
        <is>
          <t>Zapata County Airport</t>
        </is>
      </c>
      <c r="C98" s="16" t="inlineStr">
        <is>
          <t>2521ZAPAT</t>
        </is>
      </c>
      <c r="D98" s="17" t="n">
        <v>46309.54166666666</v>
      </c>
      <c r="E98" s="16" t="inlineStr">
        <is>
          <t>Sterling Delaware Holding Company</t>
        </is>
      </c>
      <c r="F98" s="16" t="n">
        <v>2</v>
      </c>
      <c r="G98" s="19" t="inlineStr">
        <is>
          <t>No</t>
        </is>
      </c>
      <c r="H98" s="16" t="inlineStr">
        <is>
          <t>P-620-5.1a</t>
        </is>
      </c>
      <c r="I98" s="16" t="inlineStr">
        <is>
          <t>SAND BLAST, CLEAN, AND REMARK EXISTING SEGMENTED CIRCLE MARKER SYSTEM, INCLUDING REFLECTIVE MEDIA (BEADS)</t>
        </is>
      </c>
      <c r="J98" s="16" t="inlineStr">
        <is>
          <t>LS</t>
        </is>
      </c>
      <c r="K98" s="21" t="n">
        <v>1</v>
      </c>
      <c r="L98" s="19" t="n">
        <v>1545</v>
      </c>
      <c r="M98" s="19" t="n">
        <v>1545</v>
      </c>
      <c r="N98" s="16" t="inlineStr">
        <is>
          <t>Yes</t>
        </is>
      </c>
    </row>
    <row r="99">
      <c r="A99" s="16" t="inlineStr">
        <is>
          <t>NTB2521ZAPAT00053</t>
        </is>
      </c>
      <c r="B99" s="16" t="inlineStr">
        <is>
          <t>Zapata County Airport</t>
        </is>
      </c>
      <c r="C99" s="16" t="inlineStr">
        <is>
          <t>2521ZAPAT</t>
        </is>
      </c>
      <c r="D99" s="17" t="n">
        <v>46309.54166666666</v>
      </c>
      <c r="E99" s="16" t="inlineStr">
        <is>
          <t>Sterling Delaware Holding Company</t>
        </is>
      </c>
      <c r="F99" s="16" t="n">
        <v>2</v>
      </c>
      <c r="G99" s="19" t="inlineStr">
        <is>
          <t>No</t>
        </is>
      </c>
      <c r="H99" s="16" t="inlineStr">
        <is>
          <t>P-620-5.2b</t>
        </is>
      </c>
      <c r="I99" s="16" t="inlineStr">
        <is>
          <t>RUNWAY AND TAXIWAY MARKING INCLUDING REFLECTIVE MEDIA (BEADS)</t>
        </is>
      </c>
      <c r="J99" s="16" t="inlineStr">
        <is>
          <t>SF</t>
        </is>
      </c>
      <c r="K99" s="21" t="n">
        <v>42065</v>
      </c>
      <c r="L99" s="19" t="n">
        <v>0.91</v>
      </c>
      <c r="M99" s="19" t="n">
        <v>38279.15</v>
      </c>
      <c r="N99" s="16" t="inlineStr">
        <is>
          <t>Yes</t>
        </is>
      </c>
    </row>
    <row r="100">
      <c r="A100" s="16" t="inlineStr">
        <is>
          <t>NTB2521ZAPAT00053</t>
        </is>
      </c>
      <c r="B100" s="16" t="inlineStr">
        <is>
          <t>Zapata County Airport</t>
        </is>
      </c>
      <c r="C100" s="16" t="inlineStr">
        <is>
          <t>2521ZAPAT</t>
        </is>
      </c>
      <c r="D100" s="17" t="n">
        <v>46309.54166666666</v>
      </c>
      <c r="E100" s="16" t="inlineStr">
        <is>
          <t>Sterling Delaware Holding Company</t>
        </is>
      </c>
      <c r="F100" s="16" t="n">
        <v>2</v>
      </c>
      <c r="G100" s="19" t="inlineStr">
        <is>
          <t>No</t>
        </is>
      </c>
      <c r="H100" s="16" t="inlineStr">
        <is>
          <t>TX-247-6.1</t>
        </is>
      </c>
      <c r="I100" s="16" t="inlineStr">
        <is>
          <t>GRADE 1-2, TYPE A CRUSHED AGGREGATE BASE COURSE (8-INCH THICKNESS)</t>
        </is>
      </c>
      <c r="J100" s="16" t="inlineStr">
        <is>
          <t>SY</t>
        </is>
      </c>
      <c r="K100" s="21" t="n">
        <v>58930</v>
      </c>
      <c r="L100" s="19" t="n">
        <v>42.5</v>
      </c>
      <c r="M100" s="19" t="n">
        <v>2504525</v>
      </c>
      <c r="N100" s="16" t="inlineStr">
        <is>
          <t>Yes</t>
        </is>
      </c>
    </row>
    <row r="101">
      <c r="A101" s="16" t="inlineStr">
        <is>
          <t>NTB2521ZAPAT00053</t>
        </is>
      </c>
      <c r="B101" s="16" t="inlineStr">
        <is>
          <t>Zapata County Airport</t>
        </is>
      </c>
      <c r="C101" s="16" t="inlineStr">
        <is>
          <t>2521ZAPAT</t>
        </is>
      </c>
      <c r="D101" s="17" t="n">
        <v>46309.54166666666</v>
      </c>
      <c r="E101" s="16" t="inlineStr">
        <is>
          <t>Sterling Delaware Holding Company</t>
        </is>
      </c>
      <c r="F101" s="16" t="n">
        <v>2</v>
      </c>
      <c r="G101" s="19" t="inlineStr">
        <is>
          <t>No</t>
        </is>
      </c>
      <c r="H101" s="16" t="inlineStr">
        <is>
          <t>TX-341</t>
        </is>
      </c>
      <c r="I101" s="16" t="inlineStr">
        <is>
          <t>HOT MIX ASPHALT, TYPE D (3- INCH THICKNESS), PLACED IN TWO 1.5-INCH LIFTS</t>
        </is>
      </c>
      <c r="J101" s="16" t="inlineStr">
        <is>
          <t>TON</t>
        </is>
      </c>
      <c r="K101" s="21" t="n">
        <v>9770</v>
      </c>
      <c r="L101" s="19" t="n">
        <v>190</v>
      </c>
      <c r="M101" s="19" t="n">
        <v>1856300</v>
      </c>
      <c r="N101" s="16" t="inlineStr">
        <is>
          <t>Yes</t>
        </is>
      </c>
    </row>
    <row r="102">
      <c r="A102" s="16" t="inlineStr">
        <is>
          <t>NTB2521ZAPAT00053</t>
        </is>
      </c>
      <c r="B102" s="16" t="inlineStr">
        <is>
          <t>Zapata County Airport</t>
        </is>
      </c>
      <c r="C102" s="16" t="inlineStr">
        <is>
          <t>2521ZAPAT</t>
        </is>
      </c>
      <c r="D102" s="17" t="n">
        <v>46309.54166666666</v>
      </c>
      <c r="E102" s="16" t="inlineStr">
        <is>
          <t>Sterling Delaware Holding Company</t>
        </is>
      </c>
      <c r="F102" s="16" t="n">
        <v>2</v>
      </c>
      <c r="G102" s="19" t="inlineStr">
        <is>
          <t>No</t>
        </is>
      </c>
      <c r="H102" s="16" t="inlineStr">
        <is>
          <t>D-701-5.1</t>
        </is>
      </c>
      <c r="I102" s="16" t="inlineStr">
        <is>
          <t>EXTEND EXISTING 18-INCH REINFORCED CONCRETE PIPE (RCP), COMPLETE IN PLACE, INCLUDING REMOVAL OF EXISTING</t>
        </is>
      </c>
      <c r="J102" s="16" t="inlineStr">
        <is>
          <t>LF</t>
        </is>
      </c>
      <c r="K102" s="21" t="n">
        <v>15</v>
      </c>
      <c r="L102" s="19" t="n">
        <v>500</v>
      </c>
      <c r="M102" s="19" t="n">
        <v>7500</v>
      </c>
      <c r="N102" s="16" t="inlineStr">
        <is>
          <t>Yes</t>
        </is>
      </c>
    </row>
    <row r="103">
      <c r="A103" s="16" t="inlineStr">
        <is>
          <t>NTB2521ZAPAT00053</t>
        </is>
      </c>
      <c r="B103" s="16" t="inlineStr">
        <is>
          <t>Zapata County Airport</t>
        </is>
      </c>
      <c r="C103" s="16" t="inlineStr">
        <is>
          <t>2521ZAPAT</t>
        </is>
      </c>
      <c r="D103" s="17" t="n">
        <v>46309.54166666666</v>
      </c>
      <c r="E103" s="16" t="inlineStr">
        <is>
          <t>Sterling Delaware Holding Company</t>
        </is>
      </c>
      <c r="F103" s="16" t="n">
        <v>2</v>
      </c>
      <c r="G103" s="19" t="inlineStr">
        <is>
          <t>No</t>
        </is>
      </c>
      <c r="H103" s="16" t="inlineStr">
        <is>
          <t>D-752-5.1</t>
        </is>
      </c>
      <c r="I103" s="16" t="inlineStr">
        <is>
          <t>REPLACE EXISTING CONCRETE- REINFORCED SAFETY END TREATMENT, FOR 18- INCH RCP PIPE, COMPLETE IN PLACE, INCLUDING REMOVAL OF EXISTING</t>
        </is>
      </c>
      <c r="J103" s="16" t="inlineStr">
        <is>
          <t>EA</t>
        </is>
      </c>
      <c r="K103" s="21" t="n">
        <v>1</v>
      </c>
      <c r="L103" s="19" t="n">
        <v>3800</v>
      </c>
      <c r="M103" s="19" t="n">
        <v>3800</v>
      </c>
      <c r="N103" s="16" t="inlineStr">
        <is>
          <t>Yes</t>
        </is>
      </c>
    </row>
    <row r="104">
      <c r="A104" s="16" t="inlineStr">
        <is>
          <t>NTB2521ZAPAT00053</t>
        </is>
      </c>
      <c r="B104" s="16" t="inlineStr">
        <is>
          <t>Zapata County Airport</t>
        </is>
      </c>
      <c r="C104" s="16" t="inlineStr">
        <is>
          <t>2521ZAPAT</t>
        </is>
      </c>
      <c r="D104" s="17" t="n">
        <v>46309.54166666666</v>
      </c>
      <c r="E104" s="16" t="inlineStr">
        <is>
          <t>Sterling Delaware Holding Company</t>
        </is>
      </c>
      <c r="F104" s="16" t="n">
        <v>2</v>
      </c>
      <c r="G104" s="19" t="inlineStr">
        <is>
          <t>No</t>
        </is>
      </c>
      <c r="H104" s="16" t="inlineStr">
        <is>
          <t>MC1-1</t>
        </is>
      </c>
      <c r="I104" s="16" t="inlineStr">
        <is>
          <t>FURNISH AND INSTALL AIRCRAFT TIE- DOWN ANCHORS, COMPLETE</t>
        </is>
      </c>
      <c r="J104" s="16" t="inlineStr">
        <is>
          <t>EA</t>
        </is>
      </c>
      <c r="K104" s="21" t="n">
        <v>18</v>
      </c>
      <c r="L104" s="19" t="n">
        <v>688.89</v>
      </c>
      <c r="M104" s="19" t="n">
        <v>12400.02</v>
      </c>
      <c r="N104" s="16" t="inlineStr">
        <is>
          <t>Yes</t>
        </is>
      </c>
    </row>
    <row r="105">
      <c r="A105" s="16" t="inlineStr">
        <is>
          <t>NTB2521ZAPAT00053</t>
        </is>
      </c>
      <c r="B105" s="16" t="inlineStr">
        <is>
          <t>Zapata County Airport</t>
        </is>
      </c>
      <c r="C105" s="16" t="inlineStr">
        <is>
          <t>2521ZAPAT</t>
        </is>
      </c>
      <c r="D105" s="17" t="n">
        <v>46309.54166666666</v>
      </c>
      <c r="E105" s="16" t="inlineStr">
        <is>
          <t>Sterling Delaware Holding Company</t>
        </is>
      </c>
      <c r="F105" s="16" t="n">
        <v>2</v>
      </c>
      <c r="G105" s="19" t="inlineStr">
        <is>
          <t>No</t>
        </is>
      </c>
      <c r="H105" s="16" t="inlineStr">
        <is>
          <t>T-901-5.1</t>
        </is>
      </c>
      <c r="I105" s="16" t="inlineStr">
        <is>
          <t>SEEDING, FERTILIZING, AND WATERING, COMPLETE</t>
        </is>
      </c>
      <c r="J105" s="16" t="inlineStr">
        <is>
          <t>AC</t>
        </is>
      </c>
      <c r="K105" s="21" t="n">
        <v>11</v>
      </c>
      <c r="L105" s="19" t="n">
        <v>3500</v>
      </c>
      <c r="M105" s="19" t="n">
        <v>38500</v>
      </c>
      <c r="N105" s="16" t="inlineStr">
        <is>
          <t>Yes</t>
        </is>
      </c>
    </row>
    <row r="106">
      <c r="A106" s="16" t="inlineStr">
        <is>
          <t>NTB2521ZAPAT00053</t>
        </is>
      </c>
      <c r="B106" s="16" t="inlineStr">
        <is>
          <t>Zapata County Airport</t>
        </is>
      </c>
      <c r="C106" s="16" t="inlineStr">
        <is>
          <t>2521ZAPAT</t>
        </is>
      </c>
      <c r="D106" s="17" t="n">
        <v>46309.54166666666</v>
      </c>
      <c r="E106" s="16" t="inlineStr">
        <is>
          <t>Sterling Delaware Holding Company</t>
        </is>
      </c>
      <c r="F106" s="16" t="n">
        <v>2</v>
      </c>
      <c r="G106" s="19" t="inlineStr">
        <is>
          <t>No</t>
        </is>
      </c>
      <c r="H106" s="16" t="inlineStr">
        <is>
          <t>T-905-5.1</t>
        </is>
      </c>
      <c r="I106" s="16" t="inlineStr">
        <is>
          <t>TOPSOIL , OBTAINED ON SITE, STOCKPILED (4- TO 6-INCH MINIMUM), INCLUDE AMENDMENT, IN PLACE</t>
        </is>
      </c>
      <c r="J106" s="16" t="inlineStr">
        <is>
          <t>SY</t>
        </is>
      </c>
      <c r="K106" s="21" t="n">
        <v>22700</v>
      </c>
      <c r="L106" s="19" t="n">
        <v>1.1</v>
      </c>
      <c r="M106" s="19" t="n">
        <v>24970</v>
      </c>
      <c r="N106" s="16" t="inlineStr">
        <is>
          <t>Yes</t>
        </is>
      </c>
    </row>
    <row r="107">
      <c r="A107" s="16" t="inlineStr">
        <is>
          <t>NTB2521ZAPAT00053</t>
        </is>
      </c>
      <c r="B107" s="16" t="inlineStr">
        <is>
          <t>Zapata County Airport</t>
        </is>
      </c>
      <c r="C107" s="16" t="inlineStr">
        <is>
          <t>2521ZAPAT</t>
        </is>
      </c>
      <c r="D107" s="17" t="n">
        <v>46309.54166666666</v>
      </c>
      <c r="E107" s="16" t="inlineStr">
        <is>
          <t>Sterling Delaware Holding Company</t>
        </is>
      </c>
      <c r="F107" s="16" t="n">
        <v>2</v>
      </c>
      <c r="G107" s="19" t="inlineStr">
        <is>
          <t>No</t>
        </is>
      </c>
      <c r="H107" s="16" t="inlineStr">
        <is>
          <t>L-101-5.1</t>
        </is>
      </c>
      <c r="I107" s="16" t="inlineStr">
        <is>
          <t>FURNISH AND INSTALL 1-801 A(L), LED CLASS 1 ROTATING BEACON INCLUDING REMOVAL OF EXISTING BEACON, IN-PLACE AND ALL ELECTRICAL CONSTRUCTION</t>
        </is>
      </c>
      <c r="J107" s="16" t="inlineStr">
        <is>
          <t>LS</t>
        </is>
      </c>
      <c r="K107" s="21" t="n">
        <v>1</v>
      </c>
      <c r="L107" s="19" t="n">
        <v>29032.4</v>
      </c>
      <c r="M107" s="19" t="n">
        <v>29032.4</v>
      </c>
      <c r="N107" s="16" t="inlineStr">
        <is>
          <t>Yes</t>
        </is>
      </c>
    </row>
    <row r="108">
      <c r="A108" s="16" t="inlineStr">
        <is>
          <t>NTB2521ZAPAT00053</t>
        </is>
      </c>
      <c r="B108" s="16" t="inlineStr">
        <is>
          <t>Zapata County Airport</t>
        </is>
      </c>
      <c r="C108" s="16" t="inlineStr">
        <is>
          <t>2521ZAPAT</t>
        </is>
      </c>
      <c r="D108" s="17" t="n">
        <v>46309.54166666666</v>
      </c>
      <c r="E108" s="16" t="inlineStr">
        <is>
          <t>Sterling Delaware Holding Company</t>
        </is>
      </c>
      <c r="F108" s="16" t="n">
        <v>2</v>
      </c>
      <c r="G108" s="19" t="inlineStr">
        <is>
          <t>No</t>
        </is>
      </c>
      <c r="H108" s="16" t="inlineStr">
        <is>
          <t>L-103-5.1</t>
        </is>
      </c>
      <c r="I108" s="16" t="inlineStr">
        <is>
          <t>FURNISH AND INSTALL 50-FOOT TIP-DOWN TOWER AND FOUNDATION, INCLUDING REMOVAL OF EXISTING TOWER IN-PLACE AND ALL ELECTRICAL CONSTRUCTION</t>
        </is>
      </c>
      <c r="J108" s="16" t="inlineStr">
        <is>
          <t>LS</t>
        </is>
      </c>
      <c r="K108" s="21" t="n">
        <v>1</v>
      </c>
      <c r="L108" s="19" t="n">
        <v>55061.44</v>
      </c>
      <c r="M108" s="19" t="n">
        <v>55061.44</v>
      </c>
      <c r="N108" s="16" t="inlineStr">
        <is>
          <t>Yes</t>
        </is>
      </c>
    </row>
    <row r="109">
      <c r="A109" s="16" t="inlineStr">
        <is>
          <t>NTB2521ZAPAT00053</t>
        </is>
      </c>
      <c r="B109" s="16" t="inlineStr">
        <is>
          <t>Zapata County Airport</t>
        </is>
      </c>
      <c r="C109" s="16" t="inlineStr">
        <is>
          <t>2521ZAPAT</t>
        </is>
      </c>
      <c r="D109" s="17" t="n">
        <v>46309.54166666666</v>
      </c>
      <c r="E109" s="16" t="inlineStr">
        <is>
          <t>Sterling Delaware Holding Company</t>
        </is>
      </c>
      <c r="F109" s="16" t="n">
        <v>2</v>
      </c>
      <c r="G109" s="19" t="inlineStr">
        <is>
          <t>No</t>
        </is>
      </c>
      <c r="H109" s="16" t="inlineStr">
        <is>
          <t>L-107-5.1</t>
        </is>
      </c>
      <c r="I109" s="16" t="inlineStr">
        <is>
          <t>FURNISH AND INSTALL LED 1-B INTERNALLY LIGHTED, FAA SIZE 2 WIND CONE AND FOUNDATION ON TILT-OVER MAST, INCLUDING REMOVAL OF EXISTING WIND CONE, FOUNDATION AND ALL ELECTRICAL CONSTRUCTION</t>
        </is>
      </c>
      <c r="J109" s="16" t="inlineStr">
        <is>
          <t>EA</t>
        </is>
      </c>
      <c r="K109" s="21" t="n">
        <v>1</v>
      </c>
      <c r="L109" s="19" t="n">
        <v>16017.87</v>
      </c>
      <c r="M109" s="19" t="n">
        <v>16017.87</v>
      </c>
      <c r="N109" s="16" t="inlineStr">
        <is>
          <t>Yes</t>
        </is>
      </c>
    </row>
    <row r="110">
      <c r="A110" s="16" t="inlineStr">
        <is>
          <t>NTB2521ZAPAT00053</t>
        </is>
      </c>
      <c r="B110" s="16" t="inlineStr">
        <is>
          <t>Zapata County Airport</t>
        </is>
      </c>
      <c r="C110" s="16" t="inlineStr">
        <is>
          <t>2521ZAPAT</t>
        </is>
      </c>
      <c r="D110" s="17" t="n">
        <v>46309.54166666666</v>
      </c>
      <c r="E110" s="16" t="inlineStr">
        <is>
          <t>Sterling Delaware Holding Company</t>
        </is>
      </c>
      <c r="F110" s="16" t="n">
        <v>2</v>
      </c>
      <c r="G110" s="19" t="inlineStr">
        <is>
          <t>No</t>
        </is>
      </c>
      <c r="H110" s="16" t="inlineStr">
        <is>
          <t>L-108-5.1</t>
        </is>
      </c>
      <c r="I110" s="16" t="inlineStr">
        <is>
          <t>TRENCHING, BACKFILL, AND COMPACT FOR PVC CONDUIT, 24-INCH MINIMUM DEPTH</t>
        </is>
      </c>
      <c r="J110" s="16" t="inlineStr">
        <is>
          <t>LF</t>
        </is>
      </c>
      <c r="K110" s="21" t="n">
        <v>12300</v>
      </c>
      <c r="L110" s="19" t="n">
        <v>7.51</v>
      </c>
      <c r="M110" s="19" t="n">
        <v>92373</v>
      </c>
      <c r="N110" s="16" t="inlineStr">
        <is>
          <t>Yes</t>
        </is>
      </c>
    </row>
    <row r="111">
      <c r="A111" s="16" t="inlineStr">
        <is>
          <t>NTB2521ZAPAT00053</t>
        </is>
      </c>
      <c r="B111" s="16" t="inlineStr">
        <is>
          <t>Zapata County Airport</t>
        </is>
      </c>
      <c r="C111" s="16" t="inlineStr">
        <is>
          <t>2521ZAPAT</t>
        </is>
      </c>
      <c r="D111" s="17" t="n">
        <v>46309.54166666666</v>
      </c>
      <c r="E111" s="16" t="inlineStr">
        <is>
          <t>Sterling Delaware Holding Company</t>
        </is>
      </c>
      <c r="F111" s="16" t="n">
        <v>2</v>
      </c>
      <c r="G111" s="19" t="inlineStr">
        <is>
          <t>No</t>
        </is>
      </c>
      <c r="H111" s="16" t="inlineStr">
        <is>
          <t>L-108-5.2</t>
        </is>
      </c>
      <c r="I111" s="16" t="inlineStr">
        <is>
          <t>TRENCHING, BACKFILL, AND COMPACT FOR PVC CONDUIT, 40-INCH MINIMUM DEPTH</t>
        </is>
      </c>
      <c r="J111" s="16" t="inlineStr">
        <is>
          <t>LF</t>
        </is>
      </c>
      <c r="K111" s="21" t="n">
        <v>660</v>
      </c>
      <c r="L111" s="19" t="n">
        <v>20.02</v>
      </c>
      <c r="M111" s="19" t="n">
        <v>13213.2</v>
      </c>
      <c r="N111" s="16" t="inlineStr">
        <is>
          <t>Yes</t>
        </is>
      </c>
    </row>
    <row r="112">
      <c r="A112" s="16" t="inlineStr">
        <is>
          <t>NTB2521ZAPAT00053</t>
        </is>
      </c>
      <c r="B112" s="16" t="inlineStr">
        <is>
          <t>Zapata County Airport</t>
        </is>
      </c>
      <c r="C112" s="16" t="inlineStr">
        <is>
          <t>2521ZAPAT</t>
        </is>
      </c>
      <c r="D112" s="17" t="n">
        <v>46309.54166666666</v>
      </c>
      <c r="E112" s="16" t="inlineStr">
        <is>
          <t>Sterling Delaware Holding Company</t>
        </is>
      </c>
      <c r="F112" s="16" t="n">
        <v>2</v>
      </c>
      <c r="G112" s="19" t="inlineStr">
        <is>
          <t>No</t>
        </is>
      </c>
      <c r="H112" s="16" t="inlineStr">
        <is>
          <t>L-108-5.3</t>
        </is>
      </c>
      <c r="I112" s="16" t="inlineStr">
        <is>
          <t>NO. 8 AWG 5KV, L-824 TYPE C CABLE, INSTALLED IN TRENCH, DUCT BANK OR CONDUIT, EDGE LIGHTS</t>
        </is>
      </c>
      <c r="J112" s="16" t="inlineStr">
        <is>
          <t>LF</t>
        </is>
      </c>
      <c r="K112" s="21" t="n">
        <v>14700</v>
      </c>
      <c r="L112" s="19" t="n">
        <v>3.5</v>
      </c>
      <c r="M112" s="19" t="n">
        <v>51450</v>
      </c>
      <c r="N112" s="16" t="inlineStr">
        <is>
          <t>Yes</t>
        </is>
      </c>
    </row>
    <row r="113">
      <c r="A113" s="16" t="inlineStr">
        <is>
          <t>NTB2521ZAPAT00053</t>
        </is>
      </c>
      <c r="B113" s="16" t="inlineStr">
        <is>
          <t>Zapata County Airport</t>
        </is>
      </c>
      <c r="C113" s="16" t="inlineStr">
        <is>
          <t>2521ZAPAT</t>
        </is>
      </c>
      <c r="D113" s="17" t="n">
        <v>46309.54166666666</v>
      </c>
      <c r="E113" s="16" t="inlineStr">
        <is>
          <t>Sterling Delaware Holding Company</t>
        </is>
      </c>
      <c r="F113" s="16" t="n">
        <v>2</v>
      </c>
      <c r="G113" s="19" t="inlineStr">
        <is>
          <t>No</t>
        </is>
      </c>
      <c r="H113" s="16" t="inlineStr">
        <is>
          <t>L-108-5.4</t>
        </is>
      </c>
      <c r="I113" s="16" t="inlineStr">
        <is>
          <t>NO. 8 AWG SKV, L-824 TYPE C CABLE, INSTALLED IN TRENCH, DUCT BANK, OR CONDUIT, PAPI-2</t>
        </is>
      </c>
      <c r="J113" s="16" t="inlineStr">
        <is>
          <t>LF</t>
        </is>
      </c>
      <c r="K113" s="21" t="n">
        <v>9070</v>
      </c>
      <c r="L113" s="19" t="n">
        <v>3.5</v>
      </c>
      <c r="M113" s="19" t="n">
        <v>31745</v>
      </c>
      <c r="N113" s="16" t="inlineStr">
        <is>
          <t>Yes</t>
        </is>
      </c>
    </row>
    <row r="114">
      <c r="A114" s="16" t="inlineStr">
        <is>
          <t>NTB2521ZAPAT00053</t>
        </is>
      </c>
      <c r="B114" s="16" t="inlineStr">
        <is>
          <t>Zapata County Airport</t>
        </is>
      </c>
      <c r="C114" s="16" t="inlineStr">
        <is>
          <t>2521ZAPAT</t>
        </is>
      </c>
      <c r="D114" s="17" t="n">
        <v>46309.54166666666</v>
      </c>
      <c r="E114" s="16" t="inlineStr">
        <is>
          <t>Sterling Delaware Holding Company</t>
        </is>
      </c>
      <c r="F114" s="16" t="n">
        <v>2</v>
      </c>
      <c r="G114" s="19" t="inlineStr">
        <is>
          <t>No</t>
        </is>
      </c>
      <c r="H114" s="16" t="inlineStr">
        <is>
          <t>L-108-5.5</t>
        </is>
      </c>
      <c r="I114" s="16" t="inlineStr">
        <is>
          <t>NO. 6 AWG, SOLID, BARE COPPER GROUND WIRE W/ GROUNDING RODS, INSTALLED ABOVE DUCT BANK OR CONDUIT, INCLUDING CONNECTIONS/TERMINATIONS</t>
        </is>
      </c>
      <c r="J114" s="16" t="inlineStr">
        <is>
          <t>LF</t>
        </is>
      </c>
      <c r="K114" s="21" t="n">
        <v>14470</v>
      </c>
      <c r="L114" s="19" t="n">
        <v>4.51</v>
      </c>
      <c r="M114" s="19" t="n">
        <v>65259.7</v>
      </c>
      <c r="N114" s="16" t="inlineStr">
        <is>
          <t>Yes</t>
        </is>
      </c>
    </row>
    <row r="115">
      <c r="A115" s="16" t="inlineStr">
        <is>
          <t>NTB2521ZAPAT00053</t>
        </is>
      </c>
      <c r="B115" s="16" t="inlineStr">
        <is>
          <t>Zapata County Airport</t>
        </is>
      </c>
      <c r="C115" s="16" t="inlineStr">
        <is>
          <t>2521ZAPAT</t>
        </is>
      </c>
      <c r="D115" s="17" t="n">
        <v>46309.54166666666</v>
      </c>
      <c r="E115" s="16" t="inlineStr">
        <is>
          <t>Sterling Delaware Holding Company</t>
        </is>
      </c>
      <c r="F115" s="16" t="n">
        <v>2</v>
      </c>
      <c r="G115" s="19" t="inlineStr">
        <is>
          <t>No</t>
        </is>
      </c>
      <c r="H115" s="16" t="inlineStr">
        <is>
          <t>L-108-5.6</t>
        </is>
      </c>
      <c r="I115" s="16" t="inlineStr">
        <is>
          <t>NO. 6 AWG, INSULATED, STRANDED EQUIPMENT BONDING, INSTALLED IN DUCT BANK OR CONDUIT</t>
        </is>
      </c>
      <c r="J115" s="16" t="inlineStr">
        <is>
          <t>LF</t>
        </is>
      </c>
      <c r="K115" s="21" t="n">
        <v>400</v>
      </c>
      <c r="L115" s="19" t="n">
        <v>5.01</v>
      </c>
      <c r="M115" s="19" t="n">
        <v>2004</v>
      </c>
      <c r="N115" s="16" t="inlineStr">
        <is>
          <t>Yes</t>
        </is>
      </c>
    </row>
    <row r="116">
      <c r="A116" s="16" t="inlineStr">
        <is>
          <t>NTB2521ZAPAT00053</t>
        </is>
      </c>
      <c r="B116" s="16" t="inlineStr">
        <is>
          <t>Zapata County Airport</t>
        </is>
      </c>
      <c r="C116" s="16" t="inlineStr">
        <is>
          <t>2521ZAPAT</t>
        </is>
      </c>
      <c r="D116" s="17" t="n">
        <v>46309.54166666666</v>
      </c>
      <c r="E116" s="16" t="inlineStr">
        <is>
          <t>Sterling Delaware Holding Company</t>
        </is>
      </c>
      <c r="F116" s="16" t="n">
        <v>2</v>
      </c>
      <c r="G116" s="19" t="inlineStr">
        <is>
          <t>No</t>
        </is>
      </c>
      <c r="H116" s="16" t="inlineStr">
        <is>
          <t>L-108-5.7</t>
        </is>
      </c>
      <c r="I116" s="16" t="inlineStr">
        <is>
          <t>INSTALL NO. 4/0 AWG VAULT COUNTERPOISE COMPLETE WITH TRENCH, GROUND RODS, AND EXOTHERMIC BONDING, AROUND NEW VAULT</t>
        </is>
      </c>
      <c r="J116" s="16" t="inlineStr">
        <is>
          <t>LF</t>
        </is>
      </c>
      <c r="K116" s="21" t="n">
        <v>60</v>
      </c>
      <c r="L116" s="19" t="n">
        <v>50.06</v>
      </c>
      <c r="M116" s="19" t="n">
        <v>3003.6</v>
      </c>
      <c r="N116" s="16" t="inlineStr">
        <is>
          <t>Yes</t>
        </is>
      </c>
    </row>
    <row r="117">
      <c r="A117" s="16" t="inlineStr">
        <is>
          <t>NTB2521ZAPAT00053</t>
        </is>
      </c>
      <c r="B117" s="16" t="inlineStr">
        <is>
          <t>Zapata County Airport</t>
        </is>
      </c>
      <c r="C117" s="16" t="inlineStr">
        <is>
          <t>2521ZAPAT</t>
        </is>
      </c>
      <c r="D117" s="17" t="n">
        <v>46309.54166666666</v>
      </c>
      <c r="E117" s="16" t="inlineStr">
        <is>
          <t>Sterling Delaware Holding Company</t>
        </is>
      </c>
      <c r="F117" s="16" t="n">
        <v>2</v>
      </c>
      <c r="G117" s="19" t="inlineStr">
        <is>
          <t>No</t>
        </is>
      </c>
      <c r="H117" s="16" t="inlineStr">
        <is>
          <t>L-109-7.1</t>
        </is>
      </c>
      <c r="I117" s="16" t="inlineStr">
        <is>
          <t>FURNISH AND INSTALL NEW 7.5KW, 6.6 AMP, THREE-STEP CONSTANT CURRENT REGULATOR WITH OUTPUT VOLTMETER AND AMMETER, MIRLS</t>
        </is>
      </c>
      <c r="J117" s="16" t="inlineStr">
        <is>
          <t>EA</t>
        </is>
      </c>
      <c r="K117" s="21" t="n">
        <v>1</v>
      </c>
      <c r="L117" s="19" t="n">
        <v>25027.93</v>
      </c>
      <c r="M117" s="19" t="n">
        <v>25027.93</v>
      </c>
      <c r="N117" s="16" t="inlineStr">
        <is>
          <t>Yes</t>
        </is>
      </c>
    </row>
    <row r="118">
      <c r="A118" s="16" t="inlineStr">
        <is>
          <t>NTB2521ZAPAT00053</t>
        </is>
      </c>
      <c r="B118" s="16" t="inlineStr">
        <is>
          <t>Zapata County Airport</t>
        </is>
      </c>
      <c r="C118" s="16" t="inlineStr">
        <is>
          <t>2521ZAPAT</t>
        </is>
      </c>
      <c r="D118" s="17" t="n">
        <v>46309.54166666666</v>
      </c>
      <c r="E118" s="16" t="inlineStr">
        <is>
          <t>Sterling Delaware Holding Company</t>
        </is>
      </c>
      <c r="F118" s="16" t="n">
        <v>2</v>
      </c>
      <c r="G118" s="19" t="inlineStr">
        <is>
          <t>No</t>
        </is>
      </c>
      <c r="H118" s="16" t="inlineStr">
        <is>
          <t>L-109-7.2</t>
        </is>
      </c>
      <c r="I118" s="16" t="inlineStr">
        <is>
          <t>FURNISH AND INSTALL 2.0KW, 6.6 AMP, THREE-STEP CONSTANT CURRENT REGULATOR WITH OUTPUT VOLTMETER AND AMMETER, PAPI-2</t>
        </is>
      </c>
      <c r="J118" s="16" t="inlineStr">
        <is>
          <t>EA</t>
        </is>
      </c>
      <c r="K118" s="21" t="n">
        <v>1</v>
      </c>
      <c r="L118" s="19" t="n">
        <v>23025.69</v>
      </c>
      <c r="M118" s="19" t="n">
        <v>23025.69</v>
      </c>
      <c r="N118" s="16" t="inlineStr">
        <is>
          <t>Yes</t>
        </is>
      </c>
    </row>
    <row r="119">
      <c r="A119" s="16" t="inlineStr">
        <is>
          <t>NTB2521ZAPAT00053</t>
        </is>
      </c>
      <c r="B119" s="16" t="inlineStr">
        <is>
          <t>Zapata County Airport</t>
        </is>
      </c>
      <c r="C119" s="16" t="inlineStr">
        <is>
          <t>2521ZAPAT</t>
        </is>
      </c>
      <c r="D119" s="17" t="n">
        <v>46309.54166666666</v>
      </c>
      <c r="E119" s="16" t="inlineStr">
        <is>
          <t>Sterling Delaware Holding Company</t>
        </is>
      </c>
      <c r="F119" s="16" t="n">
        <v>2</v>
      </c>
      <c r="G119" s="19" t="inlineStr">
        <is>
          <t>No</t>
        </is>
      </c>
      <c r="H119" s="16" t="inlineStr">
        <is>
          <t>L-109-7.3</t>
        </is>
      </c>
      <c r="I119" s="16" t="inlineStr">
        <is>
          <t>FURNISH AND INSTALL NEW L-854 RADIO CONTROLLER AND EXTERNAL ANTENNA MOUNTED ON VAULT</t>
        </is>
      </c>
      <c r="J119" s="16" t="inlineStr">
        <is>
          <t>EA</t>
        </is>
      </c>
      <c r="K119" s="21" t="n">
        <v>1</v>
      </c>
      <c r="L119" s="19" t="n">
        <v>7508.38</v>
      </c>
      <c r="M119" s="19" t="n">
        <v>7508.38</v>
      </c>
      <c r="N119" s="16" t="inlineStr">
        <is>
          <t>Yes</t>
        </is>
      </c>
    </row>
    <row r="120">
      <c r="A120" s="16" t="inlineStr">
        <is>
          <t>NTB2521ZAPAT00053</t>
        </is>
      </c>
      <c r="B120" s="16" t="inlineStr">
        <is>
          <t>Zapata County Airport</t>
        </is>
      </c>
      <c r="C120" s="16" t="inlineStr">
        <is>
          <t>2521ZAPAT</t>
        </is>
      </c>
      <c r="D120" s="17" t="n">
        <v>46309.54166666666</v>
      </c>
      <c r="E120" s="16" t="inlineStr">
        <is>
          <t>Sterling Delaware Holding Company</t>
        </is>
      </c>
      <c r="F120" s="16" t="n">
        <v>2</v>
      </c>
      <c r="G120" s="19" t="inlineStr">
        <is>
          <t>No</t>
        </is>
      </c>
      <c r="H120" s="16" t="inlineStr">
        <is>
          <t>L-109-PLANS</t>
        </is>
      </c>
      <c r="I120" s="16" t="inlineStr">
        <is>
          <t>FURNISH AND INSTALL NEW PHOTOELECTRIC CONTROLLER</t>
        </is>
      </c>
      <c r="J120" s="16" t="inlineStr">
        <is>
          <t>EA</t>
        </is>
      </c>
      <c r="K120" s="21" t="n">
        <v>1</v>
      </c>
      <c r="L120" s="19" t="n">
        <v>5005.59</v>
      </c>
      <c r="M120" s="19" t="n">
        <v>5005.59</v>
      </c>
      <c r="N120" s="16" t="inlineStr">
        <is>
          <t>Yes</t>
        </is>
      </c>
    </row>
    <row r="121">
      <c r="A121" s="16" t="inlineStr">
        <is>
          <t>NTB2521ZAPAT00053</t>
        </is>
      </c>
      <c r="B121" s="16" t="inlineStr">
        <is>
          <t>Zapata County Airport</t>
        </is>
      </c>
      <c r="C121" s="16" t="inlineStr">
        <is>
          <t>2521ZAPAT</t>
        </is>
      </c>
      <c r="D121" s="17" t="n">
        <v>46309.54166666666</v>
      </c>
      <c r="E121" s="16" t="inlineStr">
        <is>
          <t>Sterling Delaware Holding Company</t>
        </is>
      </c>
      <c r="F121" s="16" t="n">
        <v>2</v>
      </c>
      <c r="G121" s="19" t="inlineStr">
        <is>
          <t>No</t>
        </is>
      </c>
      <c r="H121" s="16" t="inlineStr">
        <is>
          <t>L-109-7.4</t>
        </is>
      </c>
      <c r="I121" s="16" t="inlineStr">
        <is>
          <t>CONSTRUCTION OF 10- X 12-FOOT PREFABRICATED CONCRETE BUILDING AND FOUNDATION IN PLACE</t>
        </is>
      </c>
      <c r="J121" s="16" t="inlineStr">
        <is>
          <t>LS</t>
        </is>
      </c>
      <c r="K121" s="21" t="n">
        <v>1</v>
      </c>
      <c r="L121" s="19" t="n">
        <v>150167.57</v>
      </c>
      <c r="M121" s="19" t="n">
        <v>150167.57</v>
      </c>
      <c r="N121" s="16" t="inlineStr">
        <is>
          <t>Yes</t>
        </is>
      </c>
    </row>
    <row r="122">
      <c r="A122" s="16" t="inlineStr">
        <is>
          <t>NTB2521ZAPAT00053</t>
        </is>
      </c>
      <c r="B122" s="16" t="inlineStr">
        <is>
          <t>Zapata County Airport</t>
        </is>
      </c>
      <c r="C122" s="16" t="inlineStr">
        <is>
          <t>2521ZAPAT</t>
        </is>
      </c>
      <c r="D122" s="17" t="n">
        <v>46309.54166666666</v>
      </c>
      <c r="E122" s="16" t="inlineStr">
        <is>
          <t>Sterling Delaware Holding Company</t>
        </is>
      </c>
      <c r="F122" s="16" t="n">
        <v>2</v>
      </c>
      <c r="G122" s="19" t="inlineStr">
        <is>
          <t>No</t>
        </is>
      </c>
      <c r="H122" s="16" t="inlineStr">
        <is>
          <t>L-110-5.1</t>
        </is>
      </c>
      <c r="I122" s="16" t="inlineStr">
        <is>
          <t>INSTALL NON-ENCASED ELECTRICAL CONDUIT, 2-INCH SCH 40 PVC, IN TRENCH</t>
        </is>
      </c>
      <c r="J122" s="16" t="inlineStr">
        <is>
          <t>LF</t>
        </is>
      </c>
      <c r="K122" s="21" t="n">
        <v>12300</v>
      </c>
      <c r="L122" s="19" t="n">
        <v>3</v>
      </c>
      <c r="M122" s="19" t="n">
        <v>36900</v>
      </c>
      <c r="N122" s="16" t="inlineStr">
        <is>
          <t>Yes</t>
        </is>
      </c>
    </row>
    <row r="123">
      <c r="A123" s="16" t="inlineStr">
        <is>
          <t>NTB2521ZAPAT00053</t>
        </is>
      </c>
      <c r="B123" s="16" t="inlineStr">
        <is>
          <t>Zapata County Airport</t>
        </is>
      </c>
      <c r="C123" s="16" t="inlineStr">
        <is>
          <t>2521ZAPAT</t>
        </is>
      </c>
      <c r="D123" s="17" t="n">
        <v>46309.54166666666</v>
      </c>
      <c r="E123" s="16" t="inlineStr">
        <is>
          <t>Sterling Delaware Holding Company</t>
        </is>
      </c>
      <c r="F123" s="16" t="n">
        <v>2</v>
      </c>
      <c r="G123" s="19" t="inlineStr">
        <is>
          <t>No</t>
        </is>
      </c>
      <c r="H123" s="16" t="inlineStr">
        <is>
          <t>L-110-5.2</t>
        </is>
      </c>
      <c r="I123" s="16" t="inlineStr">
        <is>
          <t>CONCRETE-ENCASED ELECTRICAL CONDUIT DUCT BANK, NEW TWO 2-INCH SCH 40, PVC, IN TRENCH</t>
        </is>
      </c>
      <c r="J123" s="16" t="inlineStr">
        <is>
          <t>LF</t>
        </is>
      </c>
      <c r="K123" s="21" t="n">
        <v>660</v>
      </c>
      <c r="L123" s="19" t="n">
        <v>30.03</v>
      </c>
      <c r="M123" s="19" t="n">
        <v>19819.8</v>
      </c>
      <c r="N123" s="16" t="inlineStr">
        <is>
          <t>Yes</t>
        </is>
      </c>
    </row>
    <row r="124">
      <c r="A124" s="16" t="inlineStr">
        <is>
          <t>NTB2521ZAPAT00053</t>
        </is>
      </c>
      <c r="B124" s="16" t="inlineStr">
        <is>
          <t>Zapata County Airport</t>
        </is>
      </c>
      <c r="C124" s="16" t="inlineStr">
        <is>
          <t>2521ZAPAT</t>
        </is>
      </c>
      <c r="D124" s="17" t="n">
        <v>46309.54166666666</v>
      </c>
      <c r="E124" s="16" t="inlineStr">
        <is>
          <t>Sterling Delaware Holding Company</t>
        </is>
      </c>
      <c r="F124" s="16" t="n">
        <v>2</v>
      </c>
      <c r="G124" s="19" t="inlineStr">
        <is>
          <t>No</t>
        </is>
      </c>
      <c r="H124" s="16" t="inlineStr">
        <is>
          <t>L-115.1</t>
        </is>
      </c>
      <c r="I124" s="16" t="inlineStr">
        <is>
          <t>ELECTRICAL HANDHOLE, 12X24 INCHES, L-867B, WITH CONCRETE ENCASEMENT</t>
        </is>
      </c>
      <c r="J124" s="16" t="inlineStr">
        <is>
          <t>EA</t>
        </is>
      </c>
      <c r="K124" s="21" t="n">
        <v>15</v>
      </c>
      <c r="L124" s="19" t="n">
        <v>1201.34</v>
      </c>
      <c r="M124" s="19" t="n">
        <v>18020.1</v>
      </c>
      <c r="N124" s="16" t="inlineStr">
        <is>
          <t>Yes</t>
        </is>
      </c>
    </row>
    <row r="125">
      <c r="A125" s="16" t="inlineStr">
        <is>
          <t>NTB2521ZAPAT00053</t>
        </is>
      </c>
      <c r="B125" s="16" t="inlineStr">
        <is>
          <t>Zapata County Airport</t>
        </is>
      </c>
      <c r="C125" s="16" t="inlineStr">
        <is>
          <t>2521ZAPAT</t>
        </is>
      </c>
      <c r="D125" s="17" t="n">
        <v>46309.54166666666</v>
      </c>
      <c r="E125" s="16" t="inlineStr">
        <is>
          <t>Sterling Delaware Holding Company</t>
        </is>
      </c>
      <c r="F125" s="16" t="n">
        <v>2</v>
      </c>
      <c r="G125" s="19" t="inlineStr">
        <is>
          <t>No</t>
        </is>
      </c>
      <c r="H125" s="16" t="inlineStr">
        <is>
          <t>L-115.2</t>
        </is>
      </c>
      <c r="I125" s="16" t="inlineStr">
        <is>
          <t>HEAVY-DUTY ELECTRICAL BOX WITH LID, 17X30X24 INCHES, AT VAULT BUILDING</t>
        </is>
      </c>
      <c r="J125" s="16" t="inlineStr">
        <is>
          <t>EA</t>
        </is>
      </c>
      <c r="K125" s="21" t="n">
        <v>3</v>
      </c>
      <c r="L125" s="19" t="n">
        <v>3003.35</v>
      </c>
      <c r="M125" s="19" t="n">
        <v>9010.049999999999</v>
      </c>
      <c r="N125" s="16" t="inlineStr">
        <is>
          <t>Yes</t>
        </is>
      </c>
    </row>
    <row r="126">
      <c r="A126" s="16" t="inlineStr">
        <is>
          <t>NTB2521ZAPAT00053</t>
        </is>
      </c>
      <c r="B126" s="16" t="inlineStr">
        <is>
          <t>Zapata County Airport</t>
        </is>
      </c>
      <c r="C126" s="16" t="inlineStr">
        <is>
          <t>2521ZAPAT</t>
        </is>
      </c>
      <c r="D126" s="17" t="n">
        <v>46309.54166666666</v>
      </c>
      <c r="E126" s="16" t="inlineStr">
        <is>
          <t>Sterling Delaware Holding Company</t>
        </is>
      </c>
      <c r="F126" s="16" t="n">
        <v>2</v>
      </c>
      <c r="G126" s="19" t="inlineStr">
        <is>
          <t>No</t>
        </is>
      </c>
      <c r="H126" s="16" t="inlineStr">
        <is>
          <t>L-125.1</t>
        </is>
      </c>
      <c r="I126" s="16" t="inlineStr">
        <is>
          <t>REMOVE AND DISPOSE OFF SITE, EXISTING STAKE-MOUNTED RUNWAY EDGE ‘LIGHTS FIXTURES (INCLUDING ALL UNDERGROUND ‘CONDUIT, WIRING CONNECTIONS, AND BOXES), MIRLS</t>
        </is>
      </c>
      <c r="J126" s="16" t="n"/>
      <c r="K126" s="21" t="n">
        <v>118</v>
      </c>
      <c r="L126" s="19" t="n">
        <v>200.22</v>
      </c>
      <c r="M126" s="19" t="n">
        <v>23625.96</v>
      </c>
      <c r="N126" s="16" t="inlineStr">
        <is>
          <t>Yes</t>
        </is>
      </c>
    </row>
    <row r="127">
      <c r="A127" s="16" t="inlineStr">
        <is>
          <t>NTB2521ZAPAT00053</t>
        </is>
      </c>
      <c r="B127" s="16" t="inlineStr">
        <is>
          <t>Zapata County Airport</t>
        </is>
      </c>
      <c r="C127" s="16" t="inlineStr">
        <is>
          <t>2521ZAPAT</t>
        </is>
      </c>
      <c r="D127" s="17" t="n">
        <v>46309.54166666666</v>
      </c>
      <c r="E127" s="16" t="inlineStr">
        <is>
          <t>Sterling Delaware Holding Company</t>
        </is>
      </c>
      <c r="F127" s="16" t="n">
        <v>2</v>
      </c>
      <c r="G127" s="19" t="inlineStr">
        <is>
          <t>No</t>
        </is>
      </c>
      <c r="H127" s="16" t="inlineStr">
        <is>
          <t>L-125.2</t>
        </is>
      </c>
      <c r="I127" s="16" t="inlineStr">
        <is>
          <t>REMOVE AND DISPOSE OFF SITE, EXISTING DIRECTIONAL SIGNAGE {INCLUDING ALL UNDERGROUND CONDUIT, WIRING CONNECTIONS, BOXES, AND CONCRETE PADS)</t>
        </is>
      </c>
      <c r="J127" s="16" t="inlineStr">
        <is>
          <t>EA</t>
        </is>
      </c>
      <c r="K127" s="21" t="n">
        <v>11</v>
      </c>
      <c r="L127" s="19" t="n">
        <v>500.56</v>
      </c>
      <c r="M127" s="19" t="n">
        <v>5506.16</v>
      </c>
      <c r="N127" s="16" t="inlineStr">
        <is>
          <t>Yes</t>
        </is>
      </c>
    </row>
    <row r="128">
      <c r="A128" s="16" t="inlineStr">
        <is>
          <t>NTB2521ZAPAT00053</t>
        </is>
      </c>
      <c r="B128" s="16" t="inlineStr">
        <is>
          <t>Zapata County Airport</t>
        </is>
      </c>
      <c r="C128" s="16" t="inlineStr">
        <is>
          <t>2521ZAPAT</t>
        </is>
      </c>
      <c r="D128" s="17" t="n">
        <v>46309.54166666666</v>
      </c>
      <c r="E128" s="16" t="inlineStr">
        <is>
          <t>Sterling Delaware Holding Company</t>
        </is>
      </c>
      <c r="F128" s="16" t="n">
        <v>2</v>
      </c>
      <c r="G128" s="19" t="inlineStr">
        <is>
          <t>No</t>
        </is>
      </c>
      <c r="H128" s="16" t="inlineStr">
        <is>
          <t>L-125-3</t>
        </is>
      </c>
      <c r="I128" s="16" t="inlineStr">
        <is>
          <t>REMOVE AND DISPOSE OFF SITE, EXISTING REILS UNITS ON RWY 12-30 END {INCLUDING ALL UNDERGROUND CONDUIT, WIRING CONNECTIONS, BOXES, AND CONCRETE FOUNDATION PADS)</t>
        </is>
      </c>
      <c r="J128" s="16" t="inlineStr">
        <is>
          <t>EA</t>
        </is>
      </c>
      <c r="K128" s="21" t="n">
        <v>4</v>
      </c>
      <c r="L128" s="19" t="n">
        <v>1001.12</v>
      </c>
      <c r="M128" s="19" t="n">
        <v>4004.48</v>
      </c>
      <c r="N128" s="16" t="inlineStr">
        <is>
          <t>Yes</t>
        </is>
      </c>
    </row>
    <row r="129">
      <c r="A129" s="16" t="inlineStr">
        <is>
          <t>NTB2521ZAPAT00053</t>
        </is>
      </c>
      <c r="B129" s="16" t="inlineStr">
        <is>
          <t>Zapata County Airport</t>
        </is>
      </c>
      <c r="C129" s="16" t="inlineStr">
        <is>
          <t>2521ZAPAT</t>
        </is>
      </c>
      <c r="D129" s="17" t="n">
        <v>46309.54166666666</v>
      </c>
      <c r="E129" s="16" t="inlineStr">
        <is>
          <t>Sterling Delaware Holding Company</t>
        </is>
      </c>
      <c r="F129" s="16" t="n">
        <v>2</v>
      </c>
      <c r="G129" s="19" t="inlineStr">
        <is>
          <t>No</t>
        </is>
      </c>
      <c r="H129" s="16" t="inlineStr">
        <is>
          <t>L-125-4</t>
        </is>
      </c>
      <c r="I129" s="16" t="inlineStr">
        <is>
          <t>L-861, INSTALL LED MEDIUM INTENSITY RUNWAY EDGE LIGHTS (WHITE/WHITE, 6-UNITS) AND (YELLOW/WHITE, 39-UNITS), BASE MOUNTED ON CONCRETE-ENCASED CAN</t>
        </is>
      </c>
      <c r="J129" s="16" t="inlineStr">
        <is>
          <t>EA</t>
        </is>
      </c>
      <c r="K129" s="21" t="n">
        <v>45</v>
      </c>
      <c r="L129" s="19" t="n">
        <v>1501.68</v>
      </c>
      <c r="M129" s="19" t="n">
        <v>67575.60000000001</v>
      </c>
      <c r="N129" s="16" t="inlineStr">
        <is>
          <t>Yes</t>
        </is>
      </c>
    </row>
    <row r="130">
      <c r="A130" s="16" t="inlineStr">
        <is>
          <t>NTB2521ZAPAT00053</t>
        </is>
      </c>
      <c r="B130" s="16" t="inlineStr">
        <is>
          <t>Zapata County Airport</t>
        </is>
      </c>
      <c r="C130" s="16" t="inlineStr">
        <is>
          <t>2521ZAPAT</t>
        </is>
      </c>
      <c r="D130" s="17" t="n">
        <v>46309.54166666666</v>
      </c>
      <c r="E130" s="16" t="inlineStr">
        <is>
          <t>Sterling Delaware Holding Company</t>
        </is>
      </c>
      <c r="F130" s="16" t="n">
        <v>2</v>
      </c>
      <c r="G130" s="19" t="inlineStr">
        <is>
          <t>No</t>
        </is>
      </c>
      <c r="H130" s="16" t="inlineStr">
        <is>
          <t>L-125-5</t>
        </is>
      </c>
      <c r="I130" s="16" t="inlineStr">
        <is>
          <t>INSTALL LED MEDIUM INTENSITY RUNWAY THRESHOLD LIGHTS (RED/RED, 16- UNITS), (BLANK/GREEN, 12-UNITS), AND EDGE LIGHTS (YELLOW/GREEN, 4-UNITS) BASED MOUNTED ON CONCRETE-ENCASED CAN, AS SPECIFIED ON PLANS</t>
        </is>
      </c>
      <c r="J130" s="16" t="inlineStr">
        <is>
          <t>EA</t>
        </is>
      </c>
      <c r="K130" s="21" t="n">
        <v>32</v>
      </c>
      <c r="L130" s="19" t="n">
        <v>1802.01</v>
      </c>
      <c r="M130" s="19" t="n">
        <v>57664.32</v>
      </c>
      <c r="N130" s="16" t="inlineStr">
        <is>
          <t>Yes</t>
        </is>
      </c>
    </row>
    <row r="131">
      <c r="A131" s="16" t="inlineStr">
        <is>
          <t>NTB2521ZAPAT00053</t>
        </is>
      </c>
      <c r="B131" s="16" t="inlineStr">
        <is>
          <t>Zapata County Airport</t>
        </is>
      </c>
      <c r="C131" s="16" t="inlineStr">
        <is>
          <t>2521ZAPAT</t>
        </is>
      </c>
      <c r="D131" s="17" t="n">
        <v>46309.54166666666</v>
      </c>
      <c r="E131" s="16" t="inlineStr">
        <is>
          <t>Sterling Delaware Holding Company</t>
        </is>
      </c>
      <c r="F131" s="16" t="n">
        <v>2</v>
      </c>
      <c r="G131" s="19" t="inlineStr">
        <is>
          <t>No</t>
        </is>
      </c>
      <c r="H131" s="16" t="inlineStr">
        <is>
          <t>L-125-6</t>
        </is>
      </c>
      <c r="I131" s="16" t="inlineStr">
        <is>
          <t>ONE MODULE, SIZE 1, STYLE 2, INTERNALLY LIGHTED LED GUIDANCE SIGN, BASE MOUNTED ON CONCRETE-ENCASED CAN</t>
        </is>
      </c>
      <c r="J131" s="16" t="inlineStr">
        <is>
          <t>EA</t>
        </is>
      </c>
      <c r="K131" s="21" t="n">
        <v>10</v>
      </c>
      <c r="L131" s="19" t="n">
        <v>4505.03</v>
      </c>
      <c r="M131" s="19" t="n">
        <v>45050.3</v>
      </c>
      <c r="N131" s="16" t="inlineStr">
        <is>
          <t>Yes</t>
        </is>
      </c>
    </row>
    <row r="132">
      <c r="A132" s="16" t="inlineStr">
        <is>
          <t>NTB2521ZAPAT00053</t>
        </is>
      </c>
      <c r="B132" s="16" t="inlineStr">
        <is>
          <t>Zapata County Airport</t>
        </is>
      </c>
      <c r="C132" s="16" t="inlineStr">
        <is>
          <t>2521ZAPAT</t>
        </is>
      </c>
      <c r="D132" s="17" t="n">
        <v>46309.54166666666</v>
      </c>
      <c r="E132" s="16" t="inlineStr">
        <is>
          <t>Sterling Delaware Holding Company</t>
        </is>
      </c>
      <c r="F132" s="16" t="n">
        <v>2</v>
      </c>
      <c r="G132" s="19" t="inlineStr">
        <is>
          <t>No</t>
        </is>
      </c>
      <c r="H132" s="16" t="inlineStr">
        <is>
          <t>L-125-8</t>
        </is>
      </c>
      <c r="I132" s="16" t="inlineStr">
        <is>
          <t>THREE MODULE, SIZE 1, STYLE 2, INTERNALLY LIGHTED LED GUIDANCE SIGN, BASE MOUNTED ON CONCRETE-ENCASED CAN</t>
        </is>
      </c>
      <c r="J132" s="16" t="inlineStr">
        <is>
          <t>EA</t>
        </is>
      </c>
      <c r="K132" s="21" t="n">
        <v>1</v>
      </c>
      <c r="L132" s="19" t="n">
        <v>6006.7</v>
      </c>
      <c r="M132" s="19" t="n">
        <v>6006.7</v>
      </c>
      <c r="N132" s="16" t="inlineStr">
        <is>
          <t>Yes</t>
        </is>
      </c>
    </row>
    <row r="133">
      <c r="A133" s="16" t="inlineStr">
        <is>
          <t>NTB2521ZAPAT00053</t>
        </is>
      </c>
      <c r="B133" s="16" t="inlineStr">
        <is>
          <t>Zapata County Airport</t>
        </is>
      </c>
      <c r="C133" s="16" t="inlineStr">
        <is>
          <t>2521ZAPAT</t>
        </is>
      </c>
      <c r="D133" s="17" t="n">
        <v>46309.54166666666</v>
      </c>
      <c r="E133" s="16" t="inlineStr">
        <is>
          <t>Sterling Delaware Holding Company</t>
        </is>
      </c>
      <c r="F133" s="16" t="n">
        <v>2</v>
      </c>
      <c r="G133" s="19" t="inlineStr">
        <is>
          <t>No</t>
        </is>
      </c>
      <c r="H133" s="16" t="inlineStr">
        <is>
          <t>L-125-9</t>
        </is>
      </c>
      <c r="I133" s="16" t="inlineStr">
        <is>
          <t>INSTALL NEW L-881, PAPI-2, STYLE B, LED TILUMINATION, EQUIPPED WITH INTERNAL ADJUSTABLE BAFFLES, MOUNTED ON CONCRETE FOUNDATIONS, COMPLETE, INCLUDING ADJUSTMENTS DURING FAA FLIGHT INSPECTION</t>
        </is>
      </c>
      <c r="J133" s="16" t="inlineStr">
        <is>
          <t>EA</t>
        </is>
      </c>
      <c r="K133" s="21" t="n">
        <v>2</v>
      </c>
      <c r="L133" s="19" t="n">
        <v>35039.1</v>
      </c>
      <c r="M133" s="19" t="n">
        <v>70078.2</v>
      </c>
      <c r="N133" s="16" t="inlineStr">
        <is>
          <t>Yes</t>
        </is>
      </c>
    </row>
    <row r="134">
      <c r="A134" s="16" t="inlineStr">
        <is>
          <t>NTB2521ZAPAT00053</t>
        </is>
      </c>
      <c r="B134" s="16" t="inlineStr">
        <is>
          <t>Zapata County Airport</t>
        </is>
      </c>
      <c r="C134" s="16" t="inlineStr">
        <is>
          <t>2521ZAPAT</t>
        </is>
      </c>
      <c r="D134" s="17" t="n">
        <v>46309.54166666666</v>
      </c>
      <c r="E134" s="16" t="inlineStr">
        <is>
          <t>Sterling Delaware Holding Company</t>
        </is>
      </c>
      <c r="F134" s="16" t="n">
        <v>2</v>
      </c>
      <c r="G134" s="19" t="inlineStr">
        <is>
          <t>No</t>
        </is>
      </c>
      <c r="H134" s="16" t="inlineStr">
        <is>
          <t>L-125-10</t>
        </is>
      </c>
      <c r="I134" s="16" t="inlineStr">
        <is>
          <t>INSTALL L-853 TAXIWAY REFLECTIVE MARKERS (BLUE 86-UNITS AND GREEN 53-UNITS) AS SPECIFIED ON PLANS, COMPLETE IN PLACE</t>
        </is>
      </c>
      <c r="J134" s="16" t="inlineStr">
        <is>
          <t>EA</t>
        </is>
      </c>
      <c r="K134" s="21" t="n">
        <v>139</v>
      </c>
      <c r="L134" s="19" t="n">
        <v>19</v>
      </c>
      <c r="M134" s="19" t="n">
        <v>2641</v>
      </c>
      <c r="N134" s="16" t="inlineStr">
        <is>
          <t>Yes</t>
        </is>
      </c>
    </row>
    <row r="135">
      <c r="A135" s="16" t="inlineStr">
        <is>
          <t>NTB2521ZAPAT00053</t>
        </is>
      </c>
      <c r="B135" s="16" t="inlineStr">
        <is>
          <t>Zapata County Airport</t>
        </is>
      </c>
      <c r="C135" s="16" t="inlineStr">
        <is>
          <t>2521ZAPAT</t>
        </is>
      </c>
      <c r="D135" s="17" t="n">
        <v>46309.54166666666</v>
      </c>
      <c r="E135" s="16" t="inlineStr">
        <is>
          <t>Sterling Delaware Holding Company</t>
        </is>
      </c>
      <c r="F135" s="16" t="n">
        <v>2</v>
      </c>
      <c r="G135" s="19" t="inlineStr">
        <is>
          <t>No</t>
        </is>
      </c>
      <c r="H135" s="16" t="inlineStr">
        <is>
          <t>P-610-6.2</t>
        </is>
      </c>
      <c r="I135" s="16" t="inlineStr">
        <is>
          <t>PREPARE, INSTALL 100- X 10- FOOT THRESHOLD CONCRETE PAD AROUND L-806 LIGHT BASES, COMPLETE IN PLACE</t>
        </is>
      </c>
      <c r="J135" s="16" t="inlineStr">
        <is>
          <t>EA</t>
        </is>
      </c>
      <c r="K135" s="21" t="n">
        <v>2</v>
      </c>
      <c r="L135" s="19" t="n">
        <v>20022.35</v>
      </c>
      <c r="M135" s="19" t="n">
        <v>40044.7</v>
      </c>
      <c r="N135" s="16" t="inlineStr">
        <is>
          <t>Yes</t>
        </is>
      </c>
    </row>
    <row r="136">
      <c r="A136" s="16" t="inlineStr">
        <is>
          <t>NTB2521ZAPAT00053</t>
        </is>
      </c>
      <c r="B136" s="16" t="inlineStr">
        <is>
          <t>Zapata County Airport</t>
        </is>
      </c>
      <c r="C136" s="16" t="inlineStr">
        <is>
          <t>2521ZAPAT</t>
        </is>
      </c>
      <c r="D136" s="17" t="n">
        <v>46309.54166666666</v>
      </c>
      <c r="E136" s="16" t="inlineStr">
        <is>
          <t>Sterling Delaware Holding Company</t>
        </is>
      </c>
      <c r="F136" s="16" t="n">
        <v>2</v>
      </c>
      <c r="G136" s="19" t="inlineStr">
        <is>
          <t>No</t>
        </is>
      </c>
      <c r="H136" s="16" t="inlineStr">
        <is>
          <t>P-610-6.3</t>
        </is>
      </c>
      <c r="I136" s="16" t="inlineStr">
        <is>
          <t>PREPARE, INSTALL 40- X 10-FOOT DISPLACED THRESHOLD CONCRETE PAD AROUND L-806 LIGHT BASES, COMPLETE IN PLACE</t>
        </is>
      </c>
      <c r="J136" s="16" t="inlineStr">
        <is>
          <t>EA</t>
        </is>
      </c>
      <c r="K136" s="21" t="n">
        <v>4</v>
      </c>
      <c r="L136" s="19" t="n">
        <v>8008.94</v>
      </c>
      <c r="M136" s="19" t="n">
        <v>32035.76</v>
      </c>
      <c r="N136" s="16" t="inlineStr">
        <is>
          <t>Yes</t>
        </is>
      </c>
    </row>
    <row r="137">
      <c r="A137" s="16" t="inlineStr">
        <is>
          <t>NTB2521ZAPAT00053</t>
        </is>
      </c>
      <c r="B137" s="16" t="inlineStr">
        <is>
          <t>Zapata County Airport</t>
        </is>
      </c>
      <c r="C137" s="16" t="inlineStr">
        <is>
          <t>2521ZAPAT</t>
        </is>
      </c>
      <c r="D137" s="17" t="n">
        <v>46309.54166666666</v>
      </c>
      <c r="E137" s="16" t="inlineStr">
        <is>
          <t>Foremost Paving, Inc.</t>
        </is>
      </c>
      <c r="F137" s="16" t="n">
        <v>3</v>
      </c>
      <c r="G137" s="19" t="inlineStr">
        <is>
          <t>No</t>
        </is>
      </c>
      <c r="H137" s="16" t="inlineStr">
        <is>
          <t>C-105</t>
        </is>
      </c>
      <c r="I137" s="16" t="inlineStr">
        <is>
          <t>CONTRACTOR MOBILIZATION (8%)</t>
        </is>
      </c>
      <c r="J137" s="16" t="inlineStr">
        <is>
          <t>LS</t>
        </is>
      </c>
      <c r="K137" s="21" t="n">
        <v>1</v>
      </c>
      <c r="L137" s="19" t="n">
        <v>500000</v>
      </c>
      <c r="M137" s="19" t="n">
        <v>500000</v>
      </c>
      <c r="N137" s="16" t="inlineStr">
        <is>
          <t>Yes</t>
        </is>
      </c>
    </row>
    <row r="138">
      <c r="A138" s="16" t="inlineStr">
        <is>
          <t>NTB2521ZAPAT00053</t>
        </is>
      </c>
      <c r="B138" s="16" t="inlineStr">
        <is>
          <t>Zapata County Airport</t>
        </is>
      </c>
      <c r="C138" s="16" t="inlineStr">
        <is>
          <t>2521ZAPAT</t>
        </is>
      </c>
      <c r="D138" s="17" t="n">
        <v>46309.54166666666</v>
      </c>
      <c r="E138" s="16" t="inlineStr">
        <is>
          <t>Foremost Paving, Inc.</t>
        </is>
      </c>
      <c r="F138" s="16" t="n">
        <v>3</v>
      </c>
      <c r="G138" s="19" t="inlineStr">
        <is>
          <t>No</t>
        </is>
      </c>
      <c r="H138" s="16" t="inlineStr">
        <is>
          <t>C-100</t>
        </is>
      </c>
      <c r="I138" s="16" t="inlineStr">
        <is>
          <t>CONTRACTOR QUALITY CONTROL PROGRAM</t>
        </is>
      </c>
      <c r="J138" s="16" t="inlineStr">
        <is>
          <t>LS</t>
        </is>
      </c>
      <c r="K138" s="21" t="n">
        <v>1</v>
      </c>
      <c r="L138" s="19" t="n">
        <v>180000</v>
      </c>
      <c r="M138" s="19" t="n">
        <v>180000</v>
      </c>
      <c r="N138" s="16" t="inlineStr">
        <is>
          <t>Yes</t>
        </is>
      </c>
    </row>
    <row r="139">
      <c r="A139" s="16" t="inlineStr">
        <is>
          <t>NTB2521ZAPAT00053</t>
        </is>
      </c>
      <c r="B139" s="16" t="inlineStr">
        <is>
          <t>Zapata County Airport</t>
        </is>
      </c>
      <c r="C139" s="16" t="inlineStr">
        <is>
          <t>2521ZAPAT</t>
        </is>
      </c>
      <c r="D139" s="17" t="n">
        <v>46309.54166666666</v>
      </c>
      <c r="E139" s="16" t="inlineStr">
        <is>
          <t>Foremost Paving, Inc.</t>
        </is>
      </c>
      <c r="F139" s="16" t="n">
        <v>3</v>
      </c>
      <c r="G139" s="19" t="inlineStr">
        <is>
          <t>No</t>
        </is>
      </c>
      <c r="H139" s="16" t="inlineStr">
        <is>
          <t>C-102-5.1a</t>
        </is>
      </c>
      <c r="I139" s="16" t="inlineStr">
        <is>
          <t>TEMPORARY AIR AND WATER POLLUTION, SOIL EROSION, AND SILTATION CONTROL</t>
        </is>
      </c>
      <c r="J139" s="16" t="inlineStr">
        <is>
          <t>LS</t>
        </is>
      </c>
      <c r="K139" s="21" t="n">
        <v>1</v>
      </c>
      <c r="L139" s="19" t="n">
        <v>94435</v>
      </c>
      <c r="M139" s="19" t="n">
        <v>94435</v>
      </c>
      <c r="N139" s="16" t="inlineStr">
        <is>
          <t>Yes</t>
        </is>
      </c>
    </row>
    <row r="140">
      <c r="A140" s="16" t="inlineStr">
        <is>
          <t>NTB2521ZAPAT00053</t>
        </is>
      </c>
      <c r="B140" s="16" t="inlineStr">
        <is>
          <t>Zapata County Airport</t>
        </is>
      </c>
      <c r="C140" s="16" t="inlineStr">
        <is>
          <t>2521ZAPAT</t>
        </is>
      </c>
      <c r="D140" s="17" t="n">
        <v>46309.54166666666</v>
      </c>
      <c r="E140" s="16" t="inlineStr">
        <is>
          <t>Foremost Paving, Inc.</t>
        </is>
      </c>
      <c r="F140" s="16" t="n">
        <v>3</v>
      </c>
      <c r="G140" s="19" t="inlineStr">
        <is>
          <t>No</t>
        </is>
      </c>
      <c r="H140" s="16" t="inlineStr">
        <is>
          <t>P-140-3.1</t>
        </is>
      </c>
      <c r="I140" s="16" t="inlineStr">
        <is>
          <t>TEMPORARY BARRICADES AND MARKING FOR PAVEMENT CLOSURE</t>
        </is>
      </c>
      <c r="J140" s="16" t="inlineStr">
        <is>
          <t>LS</t>
        </is>
      </c>
      <c r="K140" s="21" t="n">
        <v>1</v>
      </c>
      <c r="L140" s="19" t="n">
        <v>151795.2</v>
      </c>
      <c r="M140" s="19" t="n">
        <v>151795.2</v>
      </c>
      <c r="N140" s="16" t="inlineStr">
        <is>
          <t>Yes</t>
        </is>
      </c>
    </row>
    <row r="141">
      <c r="A141" s="16" t="inlineStr">
        <is>
          <t>NTB2521ZAPAT00053</t>
        </is>
      </c>
      <c r="B141" s="16" t="inlineStr">
        <is>
          <t>Zapata County Airport</t>
        </is>
      </c>
      <c r="C141" s="16" t="inlineStr">
        <is>
          <t>2521ZAPAT</t>
        </is>
      </c>
      <c r="D141" s="17" t="n">
        <v>46309.54166666666</v>
      </c>
      <c r="E141" s="16" t="inlineStr">
        <is>
          <t>Foremost Paving, Inc.</t>
        </is>
      </c>
      <c r="F141" s="16" t="n">
        <v>3</v>
      </c>
      <c r="G141" s="19" t="inlineStr">
        <is>
          <t>No</t>
        </is>
      </c>
      <c r="H141" s="16" t="inlineStr">
        <is>
          <t>P-101-5.1</t>
        </is>
      </c>
      <c r="I141" s="16" t="inlineStr">
        <is>
          <t>PAVEMENT REMOVAL AND STOCKPILE</t>
        </is>
      </c>
      <c r="J141" s="16" t="inlineStr">
        <is>
          <t>SY</t>
        </is>
      </c>
      <c r="K141" s="21" t="n">
        <v>44600</v>
      </c>
      <c r="L141" s="19" t="n">
        <v>9.85</v>
      </c>
      <c r="M141" s="19" t="n">
        <v>439310</v>
      </c>
      <c r="N141" s="16" t="inlineStr">
        <is>
          <t>Yes</t>
        </is>
      </c>
    </row>
    <row r="142">
      <c r="A142" s="16" t="inlineStr">
        <is>
          <t>NTB2521ZAPAT00053</t>
        </is>
      </c>
      <c r="B142" s="16" t="inlineStr">
        <is>
          <t>Zapata County Airport</t>
        </is>
      </c>
      <c r="C142" s="16" t="inlineStr">
        <is>
          <t>2521ZAPAT</t>
        </is>
      </c>
      <c r="D142" s="17" t="n">
        <v>46309.54166666666</v>
      </c>
      <c r="E142" s="16" t="inlineStr">
        <is>
          <t>Foremost Paving, Inc.</t>
        </is>
      </c>
      <c r="F142" s="16" t="n">
        <v>3</v>
      </c>
      <c r="G142" s="19" t="inlineStr">
        <is>
          <t>No</t>
        </is>
      </c>
      <c r="H142" s="16" t="inlineStr">
        <is>
          <t>P-152-4.1</t>
        </is>
      </c>
      <c r="I142" s="16" t="inlineStr">
        <is>
          <t>DRAINAGE EXCAVATION AND TRENCHING</t>
        </is>
      </c>
      <c r="J142" s="16" t="inlineStr">
        <is>
          <t>CY</t>
        </is>
      </c>
      <c r="K142" s="21" t="n">
        <v>15</v>
      </c>
      <c r="L142" s="19" t="n">
        <v>38.5</v>
      </c>
      <c r="M142" s="19" t="n">
        <v>577.5</v>
      </c>
      <c r="N142" s="16" t="inlineStr">
        <is>
          <t>Yes</t>
        </is>
      </c>
    </row>
    <row r="143">
      <c r="A143" s="16" t="inlineStr">
        <is>
          <t>NTB2521ZAPAT00053</t>
        </is>
      </c>
      <c r="B143" s="16" t="inlineStr">
        <is>
          <t>Zapata County Airport</t>
        </is>
      </c>
      <c r="C143" s="16" t="inlineStr">
        <is>
          <t>2521ZAPAT</t>
        </is>
      </c>
      <c r="D143" s="17" t="n">
        <v>46309.54166666666</v>
      </c>
      <c r="E143" s="16" t="inlineStr">
        <is>
          <t>Foremost Paving, Inc.</t>
        </is>
      </c>
      <c r="F143" s="16" t="n">
        <v>3</v>
      </c>
      <c r="G143" s="19" t="inlineStr">
        <is>
          <t>No</t>
        </is>
      </c>
      <c r="H143" s="16" t="inlineStr">
        <is>
          <t>P-152-4.4</t>
        </is>
      </c>
      <c r="I143" s="16" t="inlineStr">
        <is>
          <t>EXCAVATION, GRADING, AND SUBGRADE PREPARATION</t>
        </is>
      </c>
      <c r="J143" s="16" t="inlineStr">
        <is>
          <t>SY</t>
        </is>
      </c>
      <c r="K143" s="21" t="n">
        <v>60410</v>
      </c>
      <c r="L143" s="19" t="n">
        <v>4.36</v>
      </c>
      <c r="M143" s="19" t="n">
        <v>263387.6</v>
      </c>
      <c r="N143" s="16" t="inlineStr">
        <is>
          <t>Yes</t>
        </is>
      </c>
    </row>
    <row r="144">
      <c r="A144" s="16" t="inlineStr">
        <is>
          <t>NTB2521ZAPAT00053</t>
        </is>
      </c>
      <c r="B144" s="16" t="inlineStr">
        <is>
          <t>Zapata County Airport</t>
        </is>
      </c>
      <c r="C144" s="16" t="inlineStr">
        <is>
          <t>2521ZAPAT</t>
        </is>
      </c>
      <c r="D144" s="17" t="n">
        <v>46309.54166666666</v>
      </c>
      <c r="E144" s="16" t="inlineStr">
        <is>
          <t>Foremost Paving, Inc.</t>
        </is>
      </c>
      <c r="F144" s="16" t="n">
        <v>3</v>
      </c>
      <c r="G144" s="19" t="inlineStr">
        <is>
          <t>No</t>
        </is>
      </c>
      <c r="H144" s="16" t="inlineStr">
        <is>
          <t>P-152-4.2</t>
        </is>
      </c>
      <c r="I144" s="16" t="inlineStr">
        <is>
          <t>EMBANKMENT IN PLACE</t>
        </is>
      </c>
      <c r="J144" s="16" t="inlineStr">
        <is>
          <t>CY</t>
        </is>
      </c>
      <c r="K144" s="21" t="n">
        <v>880</v>
      </c>
      <c r="L144" s="19" t="n">
        <v>46.94</v>
      </c>
      <c r="M144" s="19" t="n">
        <v>41307.2</v>
      </c>
      <c r="N144" s="16" t="inlineStr">
        <is>
          <t>Yes</t>
        </is>
      </c>
    </row>
    <row r="145">
      <c r="A145" s="16" t="inlineStr">
        <is>
          <t>NTB2521ZAPAT00053</t>
        </is>
      </c>
      <c r="B145" s="16" t="inlineStr">
        <is>
          <t>Zapata County Airport</t>
        </is>
      </c>
      <c r="C145" s="16" t="inlineStr">
        <is>
          <t>2521ZAPAT</t>
        </is>
      </c>
      <c r="D145" s="17" t="n">
        <v>46309.54166666666</v>
      </c>
      <c r="E145" s="16" t="inlineStr">
        <is>
          <t>Foremost Paving, Inc.</t>
        </is>
      </c>
      <c r="F145" s="16" t="n">
        <v>3</v>
      </c>
      <c r="G145" s="19" t="inlineStr">
        <is>
          <t>No</t>
        </is>
      </c>
      <c r="H145" s="16" t="inlineStr">
        <is>
          <t>P-152-4.5</t>
        </is>
      </c>
      <c r="I145" s="16" t="inlineStr">
        <is>
          <t>GRADING IN UNPAVED AREAS</t>
        </is>
      </c>
      <c r="J145" s="16" t="inlineStr">
        <is>
          <t>SY</t>
        </is>
      </c>
      <c r="K145" s="21" t="n">
        <v>51550</v>
      </c>
      <c r="L145" s="19" t="n">
        <v>1.24</v>
      </c>
      <c r="M145" s="19" t="n">
        <v>63922</v>
      </c>
      <c r="N145" s="16" t="inlineStr">
        <is>
          <t>Yes</t>
        </is>
      </c>
    </row>
    <row r="146">
      <c r="A146" s="16" t="inlineStr">
        <is>
          <t>NTB2521ZAPAT00053</t>
        </is>
      </c>
      <c r="B146" s="16" t="inlineStr">
        <is>
          <t>Zapata County Airport</t>
        </is>
      </c>
      <c r="C146" s="16" t="inlineStr">
        <is>
          <t>2521ZAPAT</t>
        </is>
      </c>
      <c r="D146" s="17" t="n">
        <v>46309.54166666666</v>
      </c>
      <c r="E146" s="16" t="inlineStr">
        <is>
          <t>Foremost Paving, Inc.</t>
        </is>
      </c>
      <c r="F146" s="16" t="n">
        <v>3</v>
      </c>
      <c r="G146" s="19" t="inlineStr">
        <is>
          <t>No</t>
        </is>
      </c>
      <c r="H146" s="16" t="inlineStr">
        <is>
          <t>P-152-4.6</t>
        </is>
      </c>
      <c r="I146" s="16" t="inlineStr">
        <is>
          <t>TOPSOIL REMOVAL AND STOCKPILE (4-5 INCHES) TO REUSE</t>
        </is>
      </c>
      <c r="J146" s="16" t="inlineStr">
        <is>
          <t>SY</t>
        </is>
      </c>
      <c r="K146" s="21" t="n">
        <v>23620</v>
      </c>
      <c r="L146" s="19" t="n">
        <v>1.52</v>
      </c>
      <c r="M146" s="19" t="n">
        <v>35902.4</v>
      </c>
      <c r="N146" s="16" t="inlineStr">
        <is>
          <t>Yes</t>
        </is>
      </c>
    </row>
    <row r="147">
      <c r="A147" s="16" t="inlineStr">
        <is>
          <t>NTB2521ZAPAT00053</t>
        </is>
      </c>
      <c r="B147" s="16" t="inlineStr">
        <is>
          <t>Zapata County Airport</t>
        </is>
      </c>
      <c r="C147" s="16" t="inlineStr">
        <is>
          <t>2521ZAPAT</t>
        </is>
      </c>
      <c r="D147" s="17" t="n">
        <v>46309.54166666666</v>
      </c>
      <c r="E147" s="16" t="inlineStr">
        <is>
          <t>Foremost Paving, Inc.</t>
        </is>
      </c>
      <c r="F147" s="16" t="n">
        <v>3</v>
      </c>
      <c r="G147" s="19" t="inlineStr">
        <is>
          <t>No</t>
        </is>
      </c>
      <c r="H147" s="16" t="inlineStr">
        <is>
          <t>P-602-5.1</t>
        </is>
      </c>
      <c r="I147" s="16" t="inlineStr">
        <is>
          <t>EMULSIFIED ASPHALT PRIME COAT (0.3 GAL/ SY)</t>
        </is>
      </c>
      <c r="J147" s="16" t="inlineStr">
        <is>
          <t>GAL</t>
        </is>
      </c>
      <c r="K147" s="21" t="n">
        <v>17680</v>
      </c>
      <c r="L147" s="19" t="n">
        <v>9.119999999999999</v>
      </c>
      <c r="M147" s="19" t="n">
        <v>161241.6</v>
      </c>
      <c r="N147" s="16" t="inlineStr">
        <is>
          <t>Yes</t>
        </is>
      </c>
    </row>
    <row r="148">
      <c r="A148" s="16" t="inlineStr">
        <is>
          <t>NTB2521ZAPAT00053</t>
        </is>
      </c>
      <c r="B148" s="16" t="inlineStr">
        <is>
          <t>Zapata County Airport</t>
        </is>
      </c>
      <c r="C148" s="16" t="inlineStr">
        <is>
          <t>2521ZAPAT</t>
        </is>
      </c>
      <c r="D148" s="17" t="n">
        <v>46309.54166666666</v>
      </c>
      <c r="E148" s="16" t="inlineStr">
        <is>
          <t>Foremost Paving, Inc.</t>
        </is>
      </c>
      <c r="F148" s="16" t="n">
        <v>3</v>
      </c>
      <c r="G148" s="19" t="inlineStr">
        <is>
          <t>No</t>
        </is>
      </c>
      <c r="H148" s="16" t="inlineStr">
        <is>
          <t>P-603-5.1</t>
        </is>
      </c>
      <c r="I148" s="16" t="inlineStr">
        <is>
          <t>EMULSIFIED ASPHALT TACK COAT (0.10 GAL/ SY)</t>
        </is>
      </c>
      <c r="J148" s="16" t="inlineStr">
        <is>
          <t>GAL</t>
        </is>
      </c>
      <c r="K148" s="21" t="n">
        <v>5900</v>
      </c>
      <c r="L148" s="19" t="n">
        <v>9.720000000000001</v>
      </c>
      <c r="M148" s="19" t="n">
        <v>57348</v>
      </c>
      <c r="N148" s="16" t="inlineStr">
        <is>
          <t>Yes</t>
        </is>
      </c>
    </row>
    <row r="149">
      <c r="A149" s="16" t="inlineStr">
        <is>
          <t>NTB2521ZAPAT00053</t>
        </is>
      </c>
      <c r="B149" s="16" t="inlineStr">
        <is>
          <t>Zapata County Airport</t>
        </is>
      </c>
      <c r="C149" s="16" t="inlineStr">
        <is>
          <t>2521ZAPAT</t>
        </is>
      </c>
      <c r="D149" s="17" t="n">
        <v>46309.54166666666</v>
      </c>
      <c r="E149" s="16" t="inlineStr">
        <is>
          <t>Foremost Paving, Inc.</t>
        </is>
      </c>
      <c r="F149" s="16" t="n">
        <v>3</v>
      </c>
      <c r="G149" s="19" t="inlineStr">
        <is>
          <t>No</t>
        </is>
      </c>
      <c r="H149" s="16" t="inlineStr">
        <is>
          <t>P-620-5.1a</t>
        </is>
      </c>
      <c r="I149" s="16" t="inlineStr">
        <is>
          <t>SAND BLAST, CLEAN, AND REMARK EXISTING SEGMENTED CIRCLE MARKER SYSTEM, INCLUDING REFLECTIVE MEDIA (BEADS)</t>
        </is>
      </c>
      <c r="J149" s="16" t="inlineStr">
        <is>
          <t>LS</t>
        </is>
      </c>
      <c r="K149" s="21" t="n">
        <v>1</v>
      </c>
      <c r="L149" s="19" t="n">
        <v>9900</v>
      </c>
      <c r="M149" s="19" t="n">
        <v>9900</v>
      </c>
      <c r="N149" s="16" t="inlineStr">
        <is>
          <t>Yes</t>
        </is>
      </c>
    </row>
    <row r="150">
      <c r="A150" s="16" t="inlineStr">
        <is>
          <t>NTB2521ZAPAT00053</t>
        </is>
      </c>
      <c r="B150" s="16" t="inlineStr">
        <is>
          <t>Zapata County Airport</t>
        </is>
      </c>
      <c r="C150" s="16" t="inlineStr">
        <is>
          <t>2521ZAPAT</t>
        </is>
      </c>
      <c r="D150" s="17" t="n">
        <v>46309.54166666666</v>
      </c>
      <c r="E150" s="16" t="inlineStr">
        <is>
          <t>Foremost Paving, Inc.</t>
        </is>
      </c>
      <c r="F150" s="16" t="n">
        <v>3</v>
      </c>
      <c r="G150" s="19" t="inlineStr">
        <is>
          <t>No</t>
        </is>
      </c>
      <c r="H150" s="16" t="inlineStr">
        <is>
          <t>P-620-5.2b</t>
        </is>
      </c>
      <c r="I150" s="16" t="inlineStr">
        <is>
          <t>RUNWAY AND TAXIWAY MARKING INCLUDING REFLECTIVE MEDIA (BEADS)</t>
        </is>
      </c>
      <c r="J150" s="16" t="inlineStr">
        <is>
          <t>SF</t>
        </is>
      </c>
      <c r="K150" s="21" t="n">
        <v>42065</v>
      </c>
      <c r="L150" s="19" t="n">
        <v>1.27</v>
      </c>
      <c r="M150" s="19" t="n">
        <v>53422.55</v>
      </c>
      <c r="N150" s="16" t="inlineStr">
        <is>
          <t>Yes</t>
        </is>
      </c>
    </row>
    <row r="151">
      <c r="A151" s="16" t="inlineStr">
        <is>
          <t>NTB2521ZAPAT00053</t>
        </is>
      </c>
      <c r="B151" s="16" t="inlineStr">
        <is>
          <t>Zapata County Airport</t>
        </is>
      </c>
      <c r="C151" s="16" t="inlineStr">
        <is>
          <t>2521ZAPAT</t>
        </is>
      </c>
      <c r="D151" s="17" t="n">
        <v>46309.54166666666</v>
      </c>
      <c r="E151" s="16" t="inlineStr">
        <is>
          <t>Foremost Paving, Inc.</t>
        </is>
      </c>
      <c r="F151" s="16" t="n">
        <v>3</v>
      </c>
      <c r="G151" s="19" t="inlineStr">
        <is>
          <t>No</t>
        </is>
      </c>
      <c r="H151" s="16" t="inlineStr">
        <is>
          <t>TX-247-6.1</t>
        </is>
      </c>
      <c r="I151" s="16" t="inlineStr">
        <is>
          <t>GRADE 1-2, TYPE A CRUSHED AGGREGATE BASE COURSE (8-INCH THICKNESS)</t>
        </is>
      </c>
      <c r="J151" s="16" t="inlineStr">
        <is>
          <t>SY</t>
        </is>
      </c>
      <c r="K151" s="21" t="n">
        <v>58930</v>
      </c>
      <c r="L151" s="19" t="n">
        <v>49.66</v>
      </c>
      <c r="M151" s="19" t="n">
        <v>2926463.8</v>
      </c>
      <c r="N151" s="16" t="inlineStr">
        <is>
          <t>Yes</t>
        </is>
      </c>
    </row>
    <row r="152">
      <c r="A152" s="16" t="inlineStr">
        <is>
          <t>NTB2521ZAPAT00053</t>
        </is>
      </c>
      <c r="B152" s="16" t="inlineStr">
        <is>
          <t>Zapata County Airport</t>
        </is>
      </c>
      <c r="C152" s="16" t="inlineStr">
        <is>
          <t>2521ZAPAT</t>
        </is>
      </c>
      <c r="D152" s="17" t="n">
        <v>46309.54166666666</v>
      </c>
      <c r="E152" s="16" t="inlineStr">
        <is>
          <t>Foremost Paving, Inc.</t>
        </is>
      </c>
      <c r="F152" s="16" t="n">
        <v>3</v>
      </c>
      <c r="G152" s="19" t="inlineStr">
        <is>
          <t>No</t>
        </is>
      </c>
      <c r="H152" s="16" t="inlineStr">
        <is>
          <t>TX-341</t>
        </is>
      </c>
      <c r="I152" s="16" t="inlineStr">
        <is>
          <t>HOT MIX ASPHALT, TYPE D (3- INCH THICKNESS), PLACED IN TWO 1.5-INCH LIFTS</t>
        </is>
      </c>
      <c r="J152" s="16" t="inlineStr">
        <is>
          <t>TON</t>
        </is>
      </c>
      <c r="K152" s="21" t="n">
        <v>9770</v>
      </c>
      <c r="L152" s="19" t="n">
        <v>206.42</v>
      </c>
      <c r="M152" s="19" t="n">
        <v>2016723.4</v>
      </c>
      <c r="N152" s="16" t="inlineStr">
        <is>
          <t>Yes</t>
        </is>
      </c>
    </row>
    <row r="153">
      <c r="A153" s="16" t="inlineStr">
        <is>
          <t>NTB2521ZAPAT00053</t>
        </is>
      </c>
      <c r="B153" s="16" t="inlineStr">
        <is>
          <t>Zapata County Airport</t>
        </is>
      </c>
      <c r="C153" s="16" t="inlineStr">
        <is>
          <t>2521ZAPAT</t>
        </is>
      </c>
      <c r="D153" s="17" t="n">
        <v>46309.54166666666</v>
      </c>
      <c r="E153" s="16" t="inlineStr">
        <is>
          <t>Foremost Paving, Inc.</t>
        </is>
      </c>
      <c r="F153" s="16" t="n">
        <v>3</v>
      </c>
      <c r="G153" s="19" t="inlineStr">
        <is>
          <t>No</t>
        </is>
      </c>
      <c r="H153" s="16" t="inlineStr">
        <is>
          <t>D-701-5.1</t>
        </is>
      </c>
      <c r="I153" s="16" t="inlineStr">
        <is>
          <t>EXTEND EXISTING 18-INCH REINFORCED CONCRETE PIPE (RCP), COMPLETE IN PLACE, INCLUDING REMOVAL OF EXISTING</t>
        </is>
      </c>
      <c r="J153" s="16" t="inlineStr">
        <is>
          <t>LF</t>
        </is>
      </c>
      <c r="K153" s="21" t="n">
        <v>15</v>
      </c>
      <c r="L153" s="19" t="n">
        <v>632.5</v>
      </c>
      <c r="M153" s="19" t="n">
        <v>9487.5</v>
      </c>
      <c r="N153" s="16" t="inlineStr">
        <is>
          <t>Yes</t>
        </is>
      </c>
    </row>
    <row r="154">
      <c r="A154" s="16" t="inlineStr">
        <is>
          <t>NTB2521ZAPAT00053</t>
        </is>
      </c>
      <c r="B154" s="16" t="inlineStr">
        <is>
          <t>Zapata County Airport</t>
        </is>
      </c>
      <c r="C154" s="16" t="inlineStr">
        <is>
          <t>2521ZAPAT</t>
        </is>
      </c>
      <c r="D154" s="17" t="n">
        <v>46309.54166666666</v>
      </c>
      <c r="E154" s="16" t="inlineStr">
        <is>
          <t>Foremost Paving, Inc.</t>
        </is>
      </c>
      <c r="F154" s="16" t="n">
        <v>3</v>
      </c>
      <c r="G154" s="19" t="inlineStr">
        <is>
          <t>No</t>
        </is>
      </c>
      <c r="H154" s="16" t="inlineStr">
        <is>
          <t>D-752-5.1</t>
        </is>
      </c>
      <c r="I154" s="16" t="inlineStr">
        <is>
          <t>REPLACE EXISTING CONCRETE- REINFORCED SAFETY END TREATMENT, FOR 18- INCH RCP PIPE, COMPLETE IN PLACE, INCLUDING REMOVAL OF EXISTING</t>
        </is>
      </c>
      <c r="J154" s="16" t="inlineStr">
        <is>
          <t>EA</t>
        </is>
      </c>
      <c r="K154" s="21" t="n">
        <v>1</v>
      </c>
      <c r="L154" s="19" t="n">
        <v>5390</v>
      </c>
      <c r="M154" s="19" t="n">
        <v>5390</v>
      </c>
      <c r="N154" s="16" t="inlineStr">
        <is>
          <t>Yes</t>
        </is>
      </c>
    </row>
    <row r="155">
      <c r="A155" s="16" t="inlineStr">
        <is>
          <t>NTB2521ZAPAT00053</t>
        </is>
      </c>
      <c r="B155" s="16" t="inlineStr">
        <is>
          <t>Zapata County Airport</t>
        </is>
      </c>
      <c r="C155" s="16" t="inlineStr">
        <is>
          <t>2521ZAPAT</t>
        </is>
      </c>
      <c r="D155" s="17" t="n">
        <v>46309.54166666666</v>
      </c>
      <c r="E155" s="16" t="inlineStr">
        <is>
          <t>Foremost Paving, Inc.</t>
        </is>
      </c>
      <c r="F155" s="16" t="n">
        <v>3</v>
      </c>
      <c r="G155" s="19" t="inlineStr">
        <is>
          <t>No</t>
        </is>
      </c>
      <c r="H155" s="16" t="inlineStr">
        <is>
          <t>MC1-1</t>
        </is>
      </c>
      <c r="I155" s="16" t="inlineStr">
        <is>
          <t>FURNISH AND INSTALL AIRCRAFT TIE- DOWN ANCHORS, COMPLETE</t>
        </is>
      </c>
      <c r="J155" s="16" t="inlineStr">
        <is>
          <t>EA</t>
        </is>
      </c>
      <c r="K155" s="21" t="n">
        <v>18</v>
      </c>
      <c r="L155" s="19" t="n">
        <v>1430</v>
      </c>
      <c r="M155" s="19" t="n">
        <v>25740</v>
      </c>
      <c r="N155" s="16" t="inlineStr">
        <is>
          <t>Yes</t>
        </is>
      </c>
    </row>
    <row r="156">
      <c r="A156" s="16" t="inlineStr">
        <is>
          <t>NTB2521ZAPAT00053</t>
        </is>
      </c>
      <c r="B156" s="16" t="inlineStr">
        <is>
          <t>Zapata County Airport</t>
        </is>
      </c>
      <c r="C156" s="16" t="inlineStr">
        <is>
          <t>2521ZAPAT</t>
        </is>
      </c>
      <c r="D156" s="17" t="n">
        <v>46309.54166666666</v>
      </c>
      <c r="E156" s="16" t="inlineStr">
        <is>
          <t>Foremost Paving, Inc.</t>
        </is>
      </c>
      <c r="F156" s="16" t="n">
        <v>3</v>
      </c>
      <c r="G156" s="19" t="inlineStr">
        <is>
          <t>No</t>
        </is>
      </c>
      <c r="H156" s="16" t="inlineStr">
        <is>
          <t>T-901-5.1</t>
        </is>
      </c>
      <c r="I156" s="16" t="inlineStr">
        <is>
          <t>SEEDING, FERTILIZING, AND WATERING, COMPLETE</t>
        </is>
      </c>
      <c r="J156" s="16" t="inlineStr">
        <is>
          <t>AC</t>
        </is>
      </c>
      <c r="K156" s="21" t="n">
        <v>11</v>
      </c>
      <c r="L156" s="19" t="n">
        <v>3726.8</v>
      </c>
      <c r="M156" s="19" t="n">
        <v>40994.8</v>
      </c>
      <c r="N156" s="16" t="inlineStr">
        <is>
          <t>Yes</t>
        </is>
      </c>
    </row>
    <row r="157">
      <c r="A157" s="16" t="inlineStr">
        <is>
          <t>NTB2521ZAPAT00053</t>
        </is>
      </c>
      <c r="B157" s="16" t="inlineStr">
        <is>
          <t>Zapata County Airport</t>
        </is>
      </c>
      <c r="C157" s="16" t="inlineStr">
        <is>
          <t>2521ZAPAT</t>
        </is>
      </c>
      <c r="D157" s="17" t="n">
        <v>46309.54166666666</v>
      </c>
      <c r="E157" s="16" t="inlineStr">
        <is>
          <t>Foremost Paving, Inc.</t>
        </is>
      </c>
      <c r="F157" s="16" t="n">
        <v>3</v>
      </c>
      <c r="G157" s="19" t="inlineStr">
        <is>
          <t>No</t>
        </is>
      </c>
      <c r="H157" s="16" t="inlineStr">
        <is>
          <t>T-905-5.1</t>
        </is>
      </c>
      <c r="I157" s="16" t="inlineStr">
        <is>
          <t>TOPSOIL , OBTAINED ON SITE, STOCKPILED (4- TO 6-INCH MINIMUM), INCLUDE AMENDMENT, IN PLACE</t>
        </is>
      </c>
      <c r="J157" s="16" t="inlineStr">
        <is>
          <t>SY</t>
        </is>
      </c>
      <c r="K157" s="21" t="n">
        <v>22700</v>
      </c>
      <c r="L157" s="19" t="n">
        <v>1.29</v>
      </c>
      <c r="M157" s="19" t="n">
        <v>29283</v>
      </c>
      <c r="N157" s="16" t="inlineStr">
        <is>
          <t>Yes</t>
        </is>
      </c>
    </row>
    <row r="158">
      <c r="A158" s="16" t="inlineStr">
        <is>
          <t>NTB2521ZAPAT00053</t>
        </is>
      </c>
      <c r="B158" s="16" t="inlineStr">
        <is>
          <t>Zapata County Airport</t>
        </is>
      </c>
      <c r="C158" s="16" t="inlineStr">
        <is>
          <t>2521ZAPAT</t>
        </is>
      </c>
      <c r="D158" s="17" t="n">
        <v>46309.54166666666</v>
      </c>
      <c r="E158" s="16" t="inlineStr">
        <is>
          <t>Foremost Paving, Inc.</t>
        </is>
      </c>
      <c r="F158" s="16" t="n">
        <v>3</v>
      </c>
      <c r="G158" s="19" t="inlineStr">
        <is>
          <t>No</t>
        </is>
      </c>
      <c r="H158" s="16" t="inlineStr">
        <is>
          <t>L-101-5.1</t>
        </is>
      </c>
      <c r="I158" s="16" t="inlineStr">
        <is>
          <t>FURNISH AND INSTALL 1-801 A(L), LED CLASS 1 ROTATING BEACON INCLUDING REMOVAL OF EXISTING BEACON, IN-PLACE AND ALL ELECTRICAL CONSTRUCTION</t>
        </is>
      </c>
      <c r="J158" s="16" t="inlineStr">
        <is>
          <t>LS</t>
        </is>
      </c>
      <c r="K158" s="21" t="n">
        <v>1</v>
      </c>
      <c r="L158" s="19" t="n">
        <v>16500</v>
      </c>
      <c r="M158" s="19" t="n">
        <v>16500</v>
      </c>
      <c r="N158" s="16" t="inlineStr">
        <is>
          <t>Yes</t>
        </is>
      </c>
    </row>
    <row r="159">
      <c r="A159" s="16" t="inlineStr">
        <is>
          <t>NTB2521ZAPAT00053</t>
        </is>
      </c>
      <c r="B159" s="16" t="inlineStr">
        <is>
          <t>Zapata County Airport</t>
        </is>
      </c>
      <c r="C159" s="16" t="inlineStr">
        <is>
          <t>2521ZAPAT</t>
        </is>
      </c>
      <c r="D159" s="17" t="n">
        <v>46309.54166666666</v>
      </c>
      <c r="E159" s="16" t="inlineStr">
        <is>
          <t>Foremost Paving, Inc.</t>
        </is>
      </c>
      <c r="F159" s="16" t="n">
        <v>3</v>
      </c>
      <c r="G159" s="19" t="inlineStr">
        <is>
          <t>No</t>
        </is>
      </c>
      <c r="H159" s="16" t="inlineStr">
        <is>
          <t>L-103-5.1</t>
        </is>
      </c>
      <c r="I159" s="16" t="inlineStr">
        <is>
          <t>FURNISH AND INSTALL 50-FOOT TIP-DOWN TOWER AND FOUNDATION, INCLUDING REMOVAL OF EXISTING TOWER IN-PLACE AND ALL ELECTRICAL CONSTRUCTION</t>
        </is>
      </c>
      <c r="J159" s="16" t="inlineStr">
        <is>
          <t>LS</t>
        </is>
      </c>
      <c r="K159" s="21" t="n">
        <v>1</v>
      </c>
      <c r="L159" s="19" t="n">
        <v>68200</v>
      </c>
      <c r="M159" s="19" t="n">
        <v>68200</v>
      </c>
      <c r="N159" s="16" t="inlineStr">
        <is>
          <t>Yes</t>
        </is>
      </c>
    </row>
    <row r="160">
      <c r="A160" s="16" t="inlineStr">
        <is>
          <t>NTB2521ZAPAT00053</t>
        </is>
      </c>
      <c r="B160" s="16" t="inlineStr">
        <is>
          <t>Zapata County Airport</t>
        </is>
      </c>
      <c r="C160" s="16" t="inlineStr">
        <is>
          <t>2521ZAPAT</t>
        </is>
      </c>
      <c r="D160" s="17" t="n">
        <v>46309.54166666666</v>
      </c>
      <c r="E160" s="16" t="inlineStr">
        <is>
          <t>Foremost Paving, Inc.</t>
        </is>
      </c>
      <c r="F160" s="16" t="n">
        <v>3</v>
      </c>
      <c r="G160" s="19" t="inlineStr">
        <is>
          <t>No</t>
        </is>
      </c>
      <c r="H160" s="16" t="inlineStr">
        <is>
          <t>L-107-5.1</t>
        </is>
      </c>
      <c r="I160" s="16" t="inlineStr">
        <is>
          <t>FURNISH AND INSTALL LED 1-B INTERNALLY LIGHTED, FAA SIZE 2 WIND CONE AND FOUNDATION ON TILT-OVER MAST, INCLUDING REMOVAL OF EXISTING WIND CONE, FOUNDATION AND ALL ELECTRICAL CONSTRUCTION</t>
        </is>
      </c>
      <c r="J160" s="16" t="inlineStr">
        <is>
          <t>EA</t>
        </is>
      </c>
      <c r="K160" s="21" t="n">
        <v>1</v>
      </c>
      <c r="L160" s="19" t="n">
        <v>18700</v>
      </c>
      <c r="M160" s="19" t="n">
        <v>18700</v>
      </c>
      <c r="N160" s="16" t="inlineStr">
        <is>
          <t>Yes</t>
        </is>
      </c>
    </row>
    <row r="161">
      <c r="A161" s="16" t="inlineStr">
        <is>
          <t>NTB2521ZAPAT00053</t>
        </is>
      </c>
      <c r="B161" s="16" t="inlineStr">
        <is>
          <t>Zapata County Airport</t>
        </is>
      </c>
      <c r="C161" s="16" t="inlineStr">
        <is>
          <t>2521ZAPAT</t>
        </is>
      </c>
      <c r="D161" s="17" t="n">
        <v>46309.54166666666</v>
      </c>
      <c r="E161" s="16" t="inlineStr">
        <is>
          <t>Foremost Paving, Inc.</t>
        </is>
      </c>
      <c r="F161" s="16" t="n">
        <v>3</v>
      </c>
      <c r="G161" s="19" t="inlineStr">
        <is>
          <t>No</t>
        </is>
      </c>
      <c r="H161" s="16" t="inlineStr">
        <is>
          <t>L-108-5.1</t>
        </is>
      </c>
      <c r="I161" s="16" t="inlineStr">
        <is>
          <t>TRENCHING, BACKFILL, AND COMPACT FOR PVC CONDUIT, 24-INCH MINIMUM DEPTH</t>
        </is>
      </c>
      <c r="J161" s="16" t="inlineStr">
        <is>
          <t>LF</t>
        </is>
      </c>
      <c r="K161" s="21" t="n">
        <v>12300</v>
      </c>
      <c r="L161" s="19" t="n">
        <v>9.9</v>
      </c>
      <c r="M161" s="19" t="n">
        <v>121770</v>
      </c>
      <c r="N161" s="16" t="inlineStr">
        <is>
          <t>Yes</t>
        </is>
      </c>
    </row>
    <row r="162">
      <c r="A162" s="16" t="inlineStr">
        <is>
          <t>NTB2521ZAPAT00053</t>
        </is>
      </c>
      <c r="B162" s="16" t="inlineStr">
        <is>
          <t>Zapata County Airport</t>
        </is>
      </c>
      <c r="C162" s="16" t="inlineStr">
        <is>
          <t>2521ZAPAT</t>
        </is>
      </c>
      <c r="D162" s="17" t="n">
        <v>46309.54166666666</v>
      </c>
      <c r="E162" s="16" t="inlineStr">
        <is>
          <t>Foremost Paving, Inc.</t>
        </is>
      </c>
      <c r="F162" s="16" t="n">
        <v>3</v>
      </c>
      <c r="G162" s="19" t="inlineStr">
        <is>
          <t>No</t>
        </is>
      </c>
      <c r="H162" s="16" t="inlineStr">
        <is>
          <t>L-108-5.2</t>
        </is>
      </c>
      <c r="I162" s="16" t="inlineStr">
        <is>
          <t>TRENCHING, BACKFILL, AND COMPACT FOR PVC CONDUIT, 40-INCH MINIMUM DEPTH</t>
        </is>
      </c>
      <c r="J162" s="16" t="inlineStr">
        <is>
          <t>LF</t>
        </is>
      </c>
      <c r="K162" s="21" t="n">
        <v>660</v>
      </c>
      <c r="L162" s="19" t="n">
        <v>14.3</v>
      </c>
      <c r="M162" s="19" t="n">
        <v>9438</v>
      </c>
      <c r="N162" s="16" t="inlineStr">
        <is>
          <t>Yes</t>
        </is>
      </c>
    </row>
    <row r="163">
      <c r="A163" s="16" t="inlineStr">
        <is>
          <t>NTB2521ZAPAT00053</t>
        </is>
      </c>
      <c r="B163" s="16" t="inlineStr">
        <is>
          <t>Zapata County Airport</t>
        </is>
      </c>
      <c r="C163" s="16" t="inlineStr">
        <is>
          <t>2521ZAPAT</t>
        </is>
      </c>
      <c r="D163" s="17" t="n">
        <v>46309.54166666666</v>
      </c>
      <c r="E163" s="16" t="inlineStr">
        <is>
          <t>Foremost Paving, Inc.</t>
        </is>
      </c>
      <c r="F163" s="16" t="n">
        <v>3</v>
      </c>
      <c r="G163" s="19" t="inlineStr">
        <is>
          <t>No</t>
        </is>
      </c>
      <c r="H163" s="16" t="inlineStr">
        <is>
          <t>L-108-5.3</t>
        </is>
      </c>
      <c r="I163" s="16" t="inlineStr">
        <is>
          <t>NO. 8 AWG 5KV, L-824 TYPE C CABLE, INSTALLED IN TRENCH, DUCT BANK OR CONDUIT, EDGE LIGHTS</t>
        </is>
      </c>
      <c r="J163" s="16" t="inlineStr">
        <is>
          <t>LF</t>
        </is>
      </c>
      <c r="K163" s="21" t="n">
        <v>14700</v>
      </c>
      <c r="L163" s="19" t="n">
        <v>2.75</v>
      </c>
      <c r="M163" s="19" t="n">
        <v>40425</v>
      </c>
      <c r="N163" s="16" t="inlineStr">
        <is>
          <t>Yes</t>
        </is>
      </c>
    </row>
    <row r="164">
      <c r="A164" s="16" t="inlineStr">
        <is>
          <t>NTB2521ZAPAT00053</t>
        </is>
      </c>
      <c r="B164" s="16" t="inlineStr">
        <is>
          <t>Zapata County Airport</t>
        </is>
      </c>
      <c r="C164" s="16" t="inlineStr">
        <is>
          <t>2521ZAPAT</t>
        </is>
      </c>
      <c r="D164" s="17" t="n">
        <v>46309.54166666666</v>
      </c>
      <c r="E164" s="16" t="inlineStr">
        <is>
          <t>Foremost Paving, Inc.</t>
        </is>
      </c>
      <c r="F164" s="16" t="n">
        <v>3</v>
      </c>
      <c r="G164" s="19" t="inlineStr">
        <is>
          <t>No</t>
        </is>
      </c>
      <c r="H164" s="16" t="inlineStr">
        <is>
          <t>L-108-5.4</t>
        </is>
      </c>
      <c r="I164" s="16" t="inlineStr">
        <is>
          <t>NO. 8 AWG SKV, L-824 TYPE C CABLE, INSTALLED IN TRENCH, DUCT BANK, OR CONDUIT, PAPI-2</t>
        </is>
      </c>
      <c r="J164" s="16" t="inlineStr">
        <is>
          <t>LF</t>
        </is>
      </c>
      <c r="K164" s="21" t="n">
        <v>9070</v>
      </c>
      <c r="L164" s="19" t="n">
        <v>2.75</v>
      </c>
      <c r="M164" s="19" t="n">
        <v>24942.5</v>
      </c>
      <c r="N164" s="16" t="inlineStr">
        <is>
          <t>Yes</t>
        </is>
      </c>
    </row>
    <row r="165">
      <c r="A165" s="16" t="inlineStr">
        <is>
          <t>NTB2521ZAPAT00053</t>
        </is>
      </c>
      <c r="B165" s="16" t="inlineStr">
        <is>
          <t>Zapata County Airport</t>
        </is>
      </c>
      <c r="C165" s="16" t="inlineStr">
        <is>
          <t>2521ZAPAT</t>
        </is>
      </c>
      <c r="D165" s="17" t="n">
        <v>46309.54166666666</v>
      </c>
      <c r="E165" s="16" t="inlineStr">
        <is>
          <t>Foremost Paving, Inc.</t>
        </is>
      </c>
      <c r="F165" s="16" t="n">
        <v>3</v>
      </c>
      <c r="G165" s="19" t="inlineStr">
        <is>
          <t>No</t>
        </is>
      </c>
      <c r="H165" s="16" t="inlineStr">
        <is>
          <t>L-108-5.5</t>
        </is>
      </c>
      <c r="I165" s="16" t="inlineStr">
        <is>
          <t>NO. 6 AWG, SOLID, BARE COPPER GROUND WIRE W/ GROUNDING RODS, INSTALLED ABOVE DUCT BANK OR CONDUIT, INCLUDING CONNECTIONS/TERMINATIONS</t>
        </is>
      </c>
      <c r="J165" s="16" t="inlineStr">
        <is>
          <t>LF</t>
        </is>
      </c>
      <c r="K165" s="21" t="n">
        <v>14470</v>
      </c>
      <c r="L165" s="19" t="n">
        <v>2.75</v>
      </c>
      <c r="M165" s="19" t="n">
        <v>39792.5</v>
      </c>
      <c r="N165" s="16" t="inlineStr">
        <is>
          <t>Yes</t>
        </is>
      </c>
    </row>
    <row r="166">
      <c r="A166" s="16" t="inlineStr">
        <is>
          <t>NTB2521ZAPAT00053</t>
        </is>
      </c>
      <c r="B166" s="16" t="inlineStr">
        <is>
          <t>Zapata County Airport</t>
        </is>
      </c>
      <c r="C166" s="16" t="inlineStr">
        <is>
          <t>2521ZAPAT</t>
        </is>
      </c>
      <c r="D166" s="17" t="n">
        <v>46309.54166666666</v>
      </c>
      <c r="E166" s="16" t="inlineStr">
        <is>
          <t>Foremost Paving, Inc.</t>
        </is>
      </c>
      <c r="F166" s="16" t="n">
        <v>3</v>
      </c>
      <c r="G166" s="19" t="inlineStr">
        <is>
          <t>No</t>
        </is>
      </c>
      <c r="H166" s="16" t="inlineStr">
        <is>
          <t>L-108-5.6</t>
        </is>
      </c>
      <c r="I166" s="16" t="inlineStr">
        <is>
          <t>NO. 6 AWG, INSULATED, STRANDED EQUIPMENT BONDING, INSTALLED IN DUCT BANK OR CONDUIT</t>
        </is>
      </c>
      <c r="J166" s="16" t="inlineStr">
        <is>
          <t>LF</t>
        </is>
      </c>
      <c r="K166" s="21" t="n">
        <v>400</v>
      </c>
      <c r="L166" s="19" t="n">
        <v>2.75</v>
      </c>
      <c r="M166" s="19" t="n">
        <v>1100</v>
      </c>
      <c r="N166" s="16" t="inlineStr">
        <is>
          <t>Yes</t>
        </is>
      </c>
    </row>
    <row r="167">
      <c r="A167" s="16" t="inlineStr">
        <is>
          <t>NTB2521ZAPAT00053</t>
        </is>
      </c>
      <c r="B167" s="16" t="inlineStr">
        <is>
          <t>Zapata County Airport</t>
        </is>
      </c>
      <c r="C167" s="16" t="inlineStr">
        <is>
          <t>2521ZAPAT</t>
        </is>
      </c>
      <c r="D167" s="17" t="n">
        <v>46309.54166666666</v>
      </c>
      <c r="E167" s="16" t="inlineStr">
        <is>
          <t>Foremost Paving, Inc.</t>
        </is>
      </c>
      <c r="F167" s="16" t="n">
        <v>3</v>
      </c>
      <c r="G167" s="19" t="inlineStr">
        <is>
          <t>No</t>
        </is>
      </c>
      <c r="H167" s="16" t="inlineStr">
        <is>
          <t>L-108-5.7</t>
        </is>
      </c>
      <c r="I167" s="16" t="inlineStr">
        <is>
          <t>INSTALL NO. 4/0 AWG VAULT COUNTERPOISE COMPLETE WITH TRENCH, GROUND RODS, AND EXOTHERMIC BONDING, AROUND NEW VAULT</t>
        </is>
      </c>
      <c r="J167" s="16" t="inlineStr">
        <is>
          <t>LF</t>
        </is>
      </c>
      <c r="K167" s="21" t="n">
        <v>60</v>
      </c>
      <c r="L167" s="19" t="n">
        <v>20.9</v>
      </c>
      <c r="M167" s="19" t="n">
        <v>1254</v>
      </c>
      <c r="N167" s="16" t="inlineStr">
        <is>
          <t>Yes</t>
        </is>
      </c>
    </row>
    <row r="168">
      <c r="A168" s="16" t="inlineStr">
        <is>
          <t>NTB2521ZAPAT00053</t>
        </is>
      </c>
      <c r="B168" s="16" t="inlineStr">
        <is>
          <t>Zapata County Airport</t>
        </is>
      </c>
      <c r="C168" s="16" t="inlineStr">
        <is>
          <t>2521ZAPAT</t>
        </is>
      </c>
      <c r="D168" s="17" t="n">
        <v>46309.54166666666</v>
      </c>
      <c r="E168" s="16" t="inlineStr">
        <is>
          <t>Foremost Paving, Inc.</t>
        </is>
      </c>
      <c r="F168" s="16" t="n">
        <v>3</v>
      </c>
      <c r="G168" s="19" t="inlineStr">
        <is>
          <t>No</t>
        </is>
      </c>
      <c r="H168" s="16" t="inlineStr">
        <is>
          <t>L-109-7.1</t>
        </is>
      </c>
      <c r="I168" s="16" t="inlineStr">
        <is>
          <t>FURNISH AND INSTALL NEW 7.5KW, 6.6 AMP, THREE-STEP CONSTANT CURRENT REGULATOR WITH OUTPUT VOLTMETER AND AMMETER, MIRLS</t>
        </is>
      </c>
      <c r="J168" s="16" t="inlineStr">
        <is>
          <t>EA</t>
        </is>
      </c>
      <c r="K168" s="21" t="n">
        <v>1</v>
      </c>
      <c r="L168" s="19" t="n">
        <v>19800</v>
      </c>
      <c r="M168" s="19" t="n">
        <v>19800</v>
      </c>
      <c r="N168" s="16" t="inlineStr">
        <is>
          <t>Yes</t>
        </is>
      </c>
    </row>
    <row r="169">
      <c r="A169" s="16" t="inlineStr">
        <is>
          <t>NTB2521ZAPAT00053</t>
        </is>
      </c>
      <c r="B169" s="16" t="inlineStr">
        <is>
          <t>Zapata County Airport</t>
        </is>
      </c>
      <c r="C169" s="16" t="inlineStr">
        <is>
          <t>2521ZAPAT</t>
        </is>
      </c>
      <c r="D169" s="17" t="n">
        <v>46309.54166666666</v>
      </c>
      <c r="E169" s="16" t="inlineStr">
        <is>
          <t>Foremost Paving, Inc.</t>
        </is>
      </c>
      <c r="F169" s="16" t="n">
        <v>3</v>
      </c>
      <c r="G169" s="19" t="inlineStr">
        <is>
          <t>No</t>
        </is>
      </c>
      <c r="H169" s="16" t="inlineStr">
        <is>
          <t>L-109-7.2</t>
        </is>
      </c>
      <c r="I169" s="16" t="inlineStr">
        <is>
          <t>FURNISH AND INSTALL 2.0KW, 6.6 AMP, THREE-STEP CONSTANT CURRENT REGULATOR WITH OUTPUT VOLTMETER AND AMMETER, PAPI-2</t>
        </is>
      </c>
      <c r="J169" s="16" t="inlineStr">
        <is>
          <t>EA</t>
        </is>
      </c>
      <c r="K169" s="21" t="n">
        <v>1</v>
      </c>
      <c r="L169" s="19" t="n">
        <v>13700.5</v>
      </c>
      <c r="M169" s="19" t="n">
        <v>13700.5</v>
      </c>
      <c r="N169" s="16" t="inlineStr">
        <is>
          <t>Yes</t>
        </is>
      </c>
    </row>
    <row r="170">
      <c r="A170" s="16" t="inlineStr">
        <is>
          <t>NTB2521ZAPAT00053</t>
        </is>
      </c>
      <c r="B170" s="16" t="inlineStr">
        <is>
          <t>Zapata County Airport</t>
        </is>
      </c>
      <c r="C170" s="16" t="inlineStr">
        <is>
          <t>2521ZAPAT</t>
        </is>
      </c>
      <c r="D170" s="17" t="n">
        <v>46309.54166666666</v>
      </c>
      <c r="E170" s="16" t="inlineStr">
        <is>
          <t>Foremost Paving, Inc.</t>
        </is>
      </c>
      <c r="F170" s="16" t="n">
        <v>3</v>
      </c>
      <c r="G170" s="19" t="inlineStr">
        <is>
          <t>No</t>
        </is>
      </c>
      <c r="H170" s="16" t="inlineStr">
        <is>
          <t>L-109-7.3</t>
        </is>
      </c>
      <c r="I170" s="16" t="inlineStr">
        <is>
          <t>FURNISH AND INSTALL NEW L-854 RADIO CONTROLLER AND EXTERNAL ANTENNA MOUNTED ON VAULT</t>
        </is>
      </c>
      <c r="J170" s="16" t="inlineStr">
        <is>
          <t>EA</t>
        </is>
      </c>
      <c r="K170" s="21" t="n">
        <v>1</v>
      </c>
      <c r="L170" s="19" t="n">
        <v>7315</v>
      </c>
      <c r="M170" s="19" t="n">
        <v>7315</v>
      </c>
      <c r="N170" s="16" t="inlineStr">
        <is>
          <t>Yes</t>
        </is>
      </c>
    </row>
    <row r="171">
      <c r="A171" s="16" t="inlineStr">
        <is>
          <t>NTB2521ZAPAT00053</t>
        </is>
      </c>
      <c r="B171" s="16" t="inlineStr">
        <is>
          <t>Zapata County Airport</t>
        </is>
      </c>
      <c r="C171" s="16" t="inlineStr">
        <is>
          <t>2521ZAPAT</t>
        </is>
      </c>
      <c r="D171" s="17" t="n">
        <v>46309.54166666666</v>
      </c>
      <c r="E171" s="16" t="inlineStr">
        <is>
          <t>Foremost Paving, Inc.</t>
        </is>
      </c>
      <c r="F171" s="16" t="n">
        <v>3</v>
      </c>
      <c r="G171" s="19" t="inlineStr">
        <is>
          <t>No</t>
        </is>
      </c>
      <c r="H171" s="16" t="inlineStr">
        <is>
          <t>L-109-PLANS</t>
        </is>
      </c>
      <c r="I171" s="16" t="inlineStr">
        <is>
          <t>FURNISH AND INSTALL NEW PHOTOELECTRIC CONTROLLER</t>
        </is>
      </c>
      <c r="J171" s="16" t="inlineStr">
        <is>
          <t>EA</t>
        </is>
      </c>
      <c r="K171" s="21" t="n">
        <v>1</v>
      </c>
      <c r="L171" s="19" t="n">
        <v>1870</v>
      </c>
      <c r="M171" s="19" t="n">
        <v>1870</v>
      </c>
      <c r="N171" s="16" t="inlineStr">
        <is>
          <t>Yes</t>
        </is>
      </c>
    </row>
    <row r="172">
      <c r="A172" s="16" t="inlineStr">
        <is>
          <t>NTB2521ZAPAT00053</t>
        </is>
      </c>
      <c r="B172" s="16" t="inlineStr">
        <is>
          <t>Zapata County Airport</t>
        </is>
      </c>
      <c r="C172" s="16" t="inlineStr">
        <is>
          <t>2521ZAPAT</t>
        </is>
      </c>
      <c r="D172" s="17" t="n">
        <v>46309.54166666666</v>
      </c>
      <c r="E172" s="16" t="inlineStr">
        <is>
          <t>Foremost Paving, Inc.</t>
        </is>
      </c>
      <c r="F172" s="16" t="n">
        <v>3</v>
      </c>
      <c r="G172" s="19" t="inlineStr">
        <is>
          <t>No</t>
        </is>
      </c>
      <c r="H172" s="16" t="inlineStr">
        <is>
          <t>L-109-7.4</t>
        </is>
      </c>
      <c r="I172" s="16" t="inlineStr">
        <is>
          <t>CONSTRUCTION OF 10- X 12-FOOT PREFABRICATED CONCRETE BUILDING AND FOUNDATION IN PLACE</t>
        </is>
      </c>
      <c r="J172" s="16" t="inlineStr">
        <is>
          <t>LS</t>
        </is>
      </c>
      <c r="K172" s="21" t="n">
        <v>1</v>
      </c>
      <c r="L172" s="19" t="n">
        <v>19800</v>
      </c>
      <c r="M172" s="19" t="n">
        <v>19800</v>
      </c>
      <c r="N172" s="16" t="inlineStr">
        <is>
          <t>Yes</t>
        </is>
      </c>
    </row>
    <row r="173">
      <c r="A173" s="16" t="inlineStr">
        <is>
          <t>NTB2521ZAPAT00053</t>
        </is>
      </c>
      <c r="B173" s="16" t="inlineStr">
        <is>
          <t>Zapata County Airport</t>
        </is>
      </c>
      <c r="C173" s="16" t="inlineStr">
        <is>
          <t>2521ZAPAT</t>
        </is>
      </c>
      <c r="D173" s="17" t="n">
        <v>46309.54166666666</v>
      </c>
      <c r="E173" s="16" t="inlineStr">
        <is>
          <t>Foremost Paving, Inc.</t>
        </is>
      </c>
      <c r="F173" s="16" t="n">
        <v>3</v>
      </c>
      <c r="G173" s="19" t="inlineStr">
        <is>
          <t>No</t>
        </is>
      </c>
      <c r="H173" s="16" t="inlineStr">
        <is>
          <t>L-110-5.1</t>
        </is>
      </c>
      <c r="I173" s="16" t="inlineStr">
        <is>
          <t>INSTALL NON-ENCASED ELECTRICAL CONDUIT, 2-INCH SCH 40 PVC, IN TRENCH</t>
        </is>
      </c>
      <c r="J173" s="16" t="inlineStr">
        <is>
          <t>LF</t>
        </is>
      </c>
      <c r="K173" s="21" t="n">
        <v>12300</v>
      </c>
      <c r="L173" s="19" t="n">
        <v>4.68</v>
      </c>
      <c r="M173" s="19" t="n">
        <v>57564</v>
      </c>
      <c r="N173" s="16" t="inlineStr">
        <is>
          <t>Yes</t>
        </is>
      </c>
    </row>
    <row r="174">
      <c r="A174" s="16" t="inlineStr">
        <is>
          <t>NTB2521ZAPAT00053</t>
        </is>
      </c>
      <c r="B174" s="16" t="inlineStr">
        <is>
          <t>Zapata County Airport</t>
        </is>
      </c>
      <c r="C174" s="16" t="inlineStr">
        <is>
          <t>2521ZAPAT</t>
        </is>
      </c>
      <c r="D174" s="17" t="n">
        <v>46309.54166666666</v>
      </c>
      <c r="E174" s="16" t="inlineStr">
        <is>
          <t>Foremost Paving, Inc.</t>
        </is>
      </c>
      <c r="F174" s="16" t="n">
        <v>3</v>
      </c>
      <c r="G174" s="19" t="inlineStr">
        <is>
          <t>No</t>
        </is>
      </c>
      <c r="H174" s="16" t="inlineStr">
        <is>
          <t>L-110-5.2</t>
        </is>
      </c>
      <c r="I174" s="16" t="inlineStr">
        <is>
          <t>CONCRETE-ENCASED ELECTRICAL CONDUIT DUCT BANK, NEW TWO 2-INCH SCH 40, PVC, IN TRENCH</t>
        </is>
      </c>
      <c r="J174" s="16" t="inlineStr">
        <is>
          <t>LF</t>
        </is>
      </c>
      <c r="K174" s="21" t="n">
        <v>660</v>
      </c>
      <c r="L174" s="19" t="n">
        <v>33</v>
      </c>
      <c r="M174" s="19" t="n">
        <v>21780</v>
      </c>
      <c r="N174" s="16" t="inlineStr">
        <is>
          <t>Yes</t>
        </is>
      </c>
    </row>
    <row r="175">
      <c r="A175" s="16" t="inlineStr">
        <is>
          <t>NTB2521ZAPAT00053</t>
        </is>
      </c>
      <c r="B175" s="16" t="inlineStr">
        <is>
          <t>Zapata County Airport</t>
        </is>
      </c>
      <c r="C175" s="16" t="inlineStr">
        <is>
          <t>2521ZAPAT</t>
        </is>
      </c>
      <c r="D175" s="17" t="n">
        <v>46309.54166666666</v>
      </c>
      <c r="E175" s="16" t="inlineStr">
        <is>
          <t>Foremost Paving, Inc.</t>
        </is>
      </c>
      <c r="F175" s="16" t="n">
        <v>3</v>
      </c>
      <c r="G175" s="19" t="inlineStr">
        <is>
          <t>No</t>
        </is>
      </c>
      <c r="H175" s="16" t="inlineStr">
        <is>
          <t>L-115.1</t>
        </is>
      </c>
      <c r="I175" s="16" t="inlineStr">
        <is>
          <t>ELECTRICAL HANDHOLE, 12X24 INCHES, L-867B, WITH CONCRETE ENCASEMENT</t>
        </is>
      </c>
      <c r="J175" s="16" t="inlineStr">
        <is>
          <t>EA</t>
        </is>
      </c>
      <c r="K175" s="21" t="n">
        <v>15</v>
      </c>
      <c r="L175" s="19" t="n">
        <v>2200</v>
      </c>
      <c r="M175" s="19" t="n">
        <v>33000</v>
      </c>
      <c r="N175" s="16" t="inlineStr">
        <is>
          <t>Yes</t>
        </is>
      </c>
    </row>
    <row r="176">
      <c r="A176" s="16" t="inlineStr">
        <is>
          <t>NTB2521ZAPAT00053</t>
        </is>
      </c>
      <c r="B176" s="16" t="inlineStr">
        <is>
          <t>Zapata County Airport</t>
        </is>
      </c>
      <c r="C176" s="16" t="inlineStr">
        <is>
          <t>2521ZAPAT</t>
        </is>
      </c>
      <c r="D176" s="17" t="n">
        <v>46309.54166666666</v>
      </c>
      <c r="E176" s="16" t="inlineStr">
        <is>
          <t>Foremost Paving, Inc.</t>
        </is>
      </c>
      <c r="F176" s="16" t="n">
        <v>3</v>
      </c>
      <c r="G176" s="19" t="inlineStr">
        <is>
          <t>No</t>
        </is>
      </c>
      <c r="H176" s="16" t="inlineStr">
        <is>
          <t>L-115.2</t>
        </is>
      </c>
      <c r="I176" s="16" t="inlineStr">
        <is>
          <t>HEAVY-DUTY ELECTRICAL BOX WITH LID, 17X30X24 INCHES, AT VAULT BUILDING</t>
        </is>
      </c>
      <c r="J176" s="16" t="inlineStr">
        <is>
          <t>EA</t>
        </is>
      </c>
      <c r="K176" s="21" t="n">
        <v>3</v>
      </c>
      <c r="L176" s="19" t="n">
        <v>4950</v>
      </c>
      <c r="M176" s="19" t="n">
        <v>14850</v>
      </c>
      <c r="N176" s="16" t="inlineStr">
        <is>
          <t>Yes</t>
        </is>
      </c>
    </row>
    <row r="177">
      <c r="A177" s="16" t="inlineStr">
        <is>
          <t>NTB2521ZAPAT00053</t>
        </is>
      </c>
      <c r="B177" s="16" t="inlineStr">
        <is>
          <t>Zapata County Airport</t>
        </is>
      </c>
      <c r="C177" s="16" t="inlineStr">
        <is>
          <t>2521ZAPAT</t>
        </is>
      </c>
      <c r="D177" s="17" t="n">
        <v>46309.54166666666</v>
      </c>
      <c r="E177" s="16" t="inlineStr">
        <is>
          <t>Foremost Paving, Inc.</t>
        </is>
      </c>
      <c r="F177" s="16" t="n">
        <v>3</v>
      </c>
      <c r="G177" s="19" t="inlineStr">
        <is>
          <t>No</t>
        </is>
      </c>
      <c r="H177" s="16" t="inlineStr">
        <is>
          <t>L-125.1</t>
        </is>
      </c>
      <c r="I177" s="16" t="inlineStr">
        <is>
          <t>REMOVE AND DISPOSE OFF SITE, EXISTING STAKE-MOUNTED RUNWAY EDGE ‘LIGHTS FIXTURES (INCLUDING ALL UNDERGROUND ‘CONDUIT, WIRING CONNECTIONS, AND BOXES), MIRLS</t>
        </is>
      </c>
      <c r="J177" s="16" t="n"/>
      <c r="K177" s="21" t="n">
        <v>118</v>
      </c>
      <c r="L177" s="19" t="n">
        <v>192.5</v>
      </c>
      <c r="M177" s="19" t="n">
        <v>22715</v>
      </c>
      <c r="N177" s="16" t="inlineStr">
        <is>
          <t>Yes</t>
        </is>
      </c>
    </row>
    <row r="178">
      <c r="A178" s="16" t="inlineStr">
        <is>
          <t>NTB2521ZAPAT00053</t>
        </is>
      </c>
      <c r="B178" s="16" t="inlineStr">
        <is>
          <t>Zapata County Airport</t>
        </is>
      </c>
      <c r="C178" s="16" t="inlineStr">
        <is>
          <t>2521ZAPAT</t>
        </is>
      </c>
      <c r="D178" s="17" t="n">
        <v>46309.54166666666</v>
      </c>
      <c r="E178" s="16" t="inlineStr">
        <is>
          <t>Foremost Paving, Inc.</t>
        </is>
      </c>
      <c r="F178" s="16" t="n">
        <v>3</v>
      </c>
      <c r="G178" s="19" t="inlineStr">
        <is>
          <t>No</t>
        </is>
      </c>
      <c r="H178" s="16" t="inlineStr">
        <is>
          <t>L-125.2</t>
        </is>
      </c>
      <c r="I178" s="16" t="inlineStr">
        <is>
          <t>REMOVE AND DISPOSE OFF SITE, EXISTING DIRECTIONAL SIGNAGE {INCLUDING ALL UNDERGROUND CONDUIT, WIRING CONNECTIONS, BOXES, AND CONCRETE PADS)</t>
        </is>
      </c>
      <c r="J178" s="16" t="inlineStr">
        <is>
          <t>EA</t>
        </is>
      </c>
      <c r="K178" s="21" t="n">
        <v>11</v>
      </c>
      <c r="L178" s="19" t="n">
        <v>660</v>
      </c>
      <c r="M178" s="19" t="n">
        <v>7260</v>
      </c>
      <c r="N178" s="16" t="inlineStr">
        <is>
          <t>Yes</t>
        </is>
      </c>
    </row>
    <row r="179">
      <c r="A179" s="16" t="inlineStr">
        <is>
          <t>NTB2521ZAPAT00053</t>
        </is>
      </c>
      <c r="B179" s="16" t="inlineStr">
        <is>
          <t>Zapata County Airport</t>
        </is>
      </c>
      <c r="C179" s="16" t="inlineStr">
        <is>
          <t>2521ZAPAT</t>
        </is>
      </c>
      <c r="D179" s="17" t="n">
        <v>46309.54166666666</v>
      </c>
      <c r="E179" s="16" t="inlineStr">
        <is>
          <t>Foremost Paving, Inc.</t>
        </is>
      </c>
      <c r="F179" s="16" t="n">
        <v>3</v>
      </c>
      <c r="G179" s="19" t="inlineStr">
        <is>
          <t>No</t>
        </is>
      </c>
      <c r="H179" s="16" t="inlineStr">
        <is>
          <t>L-125-3</t>
        </is>
      </c>
      <c r="I179" s="16" t="inlineStr">
        <is>
          <t>REMOVE AND DISPOSE OFF SITE, EXISTING REILS UNITS ON RWY 12-30 END {INCLUDING ALL UNDERGROUND CONDUIT, WIRING CONNECTIONS, BOXES, AND CONCRETE FOUNDATION PADS)</t>
        </is>
      </c>
      <c r="J179" s="16" t="inlineStr">
        <is>
          <t>EA</t>
        </is>
      </c>
      <c r="K179" s="21" t="n">
        <v>4</v>
      </c>
      <c r="L179" s="19" t="n">
        <v>990</v>
      </c>
      <c r="M179" s="19" t="n">
        <v>3960</v>
      </c>
      <c r="N179" s="16" t="inlineStr">
        <is>
          <t>Yes</t>
        </is>
      </c>
    </row>
    <row r="180">
      <c r="A180" s="16" t="inlineStr">
        <is>
          <t>NTB2521ZAPAT00053</t>
        </is>
      </c>
      <c r="B180" s="16" t="inlineStr">
        <is>
          <t>Zapata County Airport</t>
        </is>
      </c>
      <c r="C180" s="16" t="inlineStr">
        <is>
          <t>2521ZAPAT</t>
        </is>
      </c>
      <c r="D180" s="17" t="n">
        <v>46309.54166666666</v>
      </c>
      <c r="E180" s="16" t="inlineStr">
        <is>
          <t>Foremost Paving, Inc.</t>
        </is>
      </c>
      <c r="F180" s="16" t="n">
        <v>3</v>
      </c>
      <c r="G180" s="19" t="inlineStr">
        <is>
          <t>No</t>
        </is>
      </c>
      <c r="H180" s="16" t="inlineStr">
        <is>
          <t>L-125-4</t>
        </is>
      </c>
      <c r="I180" s="16" t="inlineStr">
        <is>
          <t>L-861, INSTALL LED MEDIUM INTENSITY RUNWAY EDGE LIGHTS (WHITE/WHITE, 6-UNITS) AND (YELLOW/WHITE, 39-UNITS), BASE MOUNTED ON CONCRETE-ENCASED CAN</t>
        </is>
      </c>
      <c r="J180" s="16" t="inlineStr">
        <is>
          <t>EA</t>
        </is>
      </c>
      <c r="K180" s="21" t="n">
        <v>45</v>
      </c>
      <c r="L180" s="19" t="n">
        <v>2860</v>
      </c>
      <c r="M180" s="19" t="n">
        <v>128700</v>
      </c>
      <c r="N180" s="16" t="inlineStr">
        <is>
          <t>Yes</t>
        </is>
      </c>
    </row>
    <row r="181">
      <c r="A181" s="16" t="inlineStr">
        <is>
          <t>NTB2521ZAPAT00053</t>
        </is>
      </c>
      <c r="B181" s="16" t="inlineStr">
        <is>
          <t>Zapata County Airport</t>
        </is>
      </c>
      <c r="C181" s="16" t="inlineStr">
        <is>
          <t>2521ZAPAT</t>
        </is>
      </c>
      <c r="D181" s="17" t="n">
        <v>46309.54166666666</v>
      </c>
      <c r="E181" s="16" t="inlineStr">
        <is>
          <t>Foremost Paving, Inc.</t>
        </is>
      </c>
      <c r="F181" s="16" t="n">
        <v>3</v>
      </c>
      <c r="G181" s="19" t="inlineStr">
        <is>
          <t>No</t>
        </is>
      </c>
      <c r="H181" s="16" t="inlineStr">
        <is>
          <t>L-125-5</t>
        </is>
      </c>
      <c r="I181" s="16" t="inlineStr">
        <is>
          <t>INSTALL LED MEDIUM INTENSITY RUNWAY THRESHOLD LIGHTS (RED/RED, 16- UNITS), (BLANK/GREEN, 12-UNITS), AND EDGE LIGHTS (YELLOW/GREEN, 4-UNITS) BASED MOUNTED ON CONCRETE-ENCASED CAN, AS SPECIFIED ON PLANS</t>
        </is>
      </c>
      <c r="J181" s="16" t="inlineStr">
        <is>
          <t>EA</t>
        </is>
      </c>
      <c r="K181" s="21" t="n">
        <v>32</v>
      </c>
      <c r="L181" s="19" t="n">
        <v>2860</v>
      </c>
      <c r="M181" s="19" t="n">
        <v>91520</v>
      </c>
      <c r="N181" s="16" t="inlineStr">
        <is>
          <t>Yes</t>
        </is>
      </c>
    </row>
    <row r="182">
      <c r="A182" s="16" t="inlineStr">
        <is>
          <t>NTB2521ZAPAT00053</t>
        </is>
      </c>
      <c r="B182" s="16" t="inlineStr">
        <is>
          <t>Zapata County Airport</t>
        </is>
      </c>
      <c r="C182" s="16" t="inlineStr">
        <is>
          <t>2521ZAPAT</t>
        </is>
      </c>
      <c r="D182" s="17" t="n">
        <v>46309.54166666666</v>
      </c>
      <c r="E182" s="16" t="inlineStr">
        <is>
          <t>Foremost Paving, Inc.</t>
        </is>
      </c>
      <c r="F182" s="16" t="n">
        <v>3</v>
      </c>
      <c r="G182" s="19" t="inlineStr">
        <is>
          <t>No</t>
        </is>
      </c>
      <c r="H182" s="16" t="inlineStr">
        <is>
          <t>L-125-6</t>
        </is>
      </c>
      <c r="I182" s="16" t="inlineStr">
        <is>
          <t>ONE MODULE, SIZE 1, STYLE 2, INTERNALLY LIGHTED LED GUIDANCE SIGN, BASE MOUNTED ON CONCRETE-ENCASED CAN</t>
        </is>
      </c>
      <c r="J182" s="16" t="inlineStr">
        <is>
          <t>EA</t>
        </is>
      </c>
      <c r="K182" s="21" t="n">
        <v>10</v>
      </c>
      <c r="L182" s="19" t="n">
        <v>7700</v>
      </c>
      <c r="M182" s="19" t="n">
        <v>77000</v>
      </c>
      <c r="N182" s="16" t="inlineStr">
        <is>
          <t>Yes</t>
        </is>
      </c>
    </row>
    <row r="183">
      <c r="A183" s="16" t="inlineStr">
        <is>
          <t>NTB2521ZAPAT00053</t>
        </is>
      </c>
      <c r="B183" s="16" t="inlineStr">
        <is>
          <t>Zapata County Airport</t>
        </is>
      </c>
      <c r="C183" s="16" t="inlineStr">
        <is>
          <t>2521ZAPAT</t>
        </is>
      </c>
      <c r="D183" s="17" t="n">
        <v>46309.54166666666</v>
      </c>
      <c r="E183" s="16" t="inlineStr">
        <is>
          <t>Foremost Paving, Inc.</t>
        </is>
      </c>
      <c r="F183" s="16" t="n">
        <v>3</v>
      </c>
      <c r="G183" s="19" t="inlineStr">
        <is>
          <t>No</t>
        </is>
      </c>
      <c r="H183" s="16" t="inlineStr">
        <is>
          <t>L-125-8</t>
        </is>
      </c>
      <c r="I183" s="16" t="inlineStr">
        <is>
          <t>THREE MODULE, SIZE 1, STYLE 2, INTERNALLY LIGHTED LED GUIDANCE SIGN, BASE MOUNTED ON CONCRETE-ENCASED CAN</t>
        </is>
      </c>
      <c r="J183" s="16" t="inlineStr">
        <is>
          <t>EA</t>
        </is>
      </c>
      <c r="K183" s="21" t="n">
        <v>1</v>
      </c>
      <c r="L183" s="19" t="n">
        <v>11275</v>
      </c>
      <c r="M183" s="19" t="n">
        <v>11275</v>
      </c>
      <c r="N183" s="16" t="inlineStr">
        <is>
          <t>Yes</t>
        </is>
      </c>
    </row>
    <row r="184">
      <c r="A184" s="16" t="inlineStr">
        <is>
          <t>NTB2521ZAPAT00053</t>
        </is>
      </c>
      <c r="B184" s="16" t="inlineStr">
        <is>
          <t>Zapata County Airport</t>
        </is>
      </c>
      <c r="C184" s="16" t="inlineStr">
        <is>
          <t>2521ZAPAT</t>
        </is>
      </c>
      <c r="D184" s="17" t="n">
        <v>46309.54166666666</v>
      </c>
      <c r="E184" s="16" t="inlineStr">
        <is>
          <t>Foremost Paving, Inc.</t>
        </is>
      </c>
      <c r="F184" s="16" t="n">
        <v>3</v>
      </c>
      <c r="G184" s="19" t="inlineStr">
        <is>
          <t>No</t>
        </is>
      </c>
      <c r="H184" s="16" t="inlineStr">
        <is>
          <t>L-125-9</t>
        </is>
      </c>
      <c r="I184" s="16" t="inlineStr">
        <is>
          <t>INSTALL NEW L-881, PAPI-2, STYLE B, LED TILUMINATION, EQUIPPED WITH INTERNAL ADJUSTABLE BAFFLES, MOUNTED ON CONCRETE FOUNDATIONS, COMPLETE, INCLUDING ADJUSTMENTS DURING FAA FLIGHT INSPECTION</t>
        </is>
      </c>
      <c r="J184" s="16" t="inlineStr">
        <is>
          <t>EA</t>
        </is>
      </c>
      <c r="K184" s="21" t="n">
        <v>2</v>
      </c>
      <c r="L184" s="19" t="n">
        <v>28050</v>
      </c>
      <c r="M184" s="19" t="n">
        <v>56100</v>
      </c>
      <c r="N184" s="16" t="inlineStr">
        <is>
          <t>Yes</t>
        </is>
      </c>
    </row>
    <row r="185">
      <c r="A185" s="16" t="inlineStr">
        <is>
          <t>NTB2521ZAPAT00053</t>
        </is>
      </c>
      <c r="B185" s="16" t="inlineStr">
        <is>
          <t>Zapata County Airport</t>
        </is>
      </c>
      <c r="C185" s="16" t="inlineStr">
        <is>
          <t>2521ZAPAT</t>
        </is>
      </c>
      <c r="D185" s="17" t="n">
        <v>46309.54166666666</v>
      </c>
      <c r="E185" s="16" t="inlineStr">
        <is>
          <t>Foremost Paving, Inc.</t>
        </is>
      </c>
      <c r="F185" s="16" t="n">
        <v>3</v>
      </c>
      <c r="G185" s="19" t="inlineStr">
        <is>
          <t>No</t>
        </is>
      </c>
      <c r="H185" s="16" t="inlineStr">
        <is>
          <t>L-125-10</t>
        </is>
      </c>
      <c r="I185" s="16" t="inlineStr">
        <is>
          <t>INSTALL L-853 TAXIWAY REFLECTIVE MARKERS (BLUE 86-UNITS AND GREEN 53-UNITS) AS SPECIFIED ON PLANS, COMPLETE IN PLACE</t>
        </is>
      </c>
      <c r="J185" s="16" t="inlineStr">
        <is>
          <t>EA</t>
        </is>
      </c>
      <c r="K185" s="21" t="n">
        <v>139</v>
      </c>
      <c r="L185" s="19" t="n">
        <v>165</v>
      </c>
      <c r="M185" s="19" t="n">
        <v>22935</v>
      </c>
      <c r="N185" s="16" t="inlineStr">
        <is>
          <t>Yes</t>
        </is>
      </c>
    </row>
    <row r="186">
      <c r="A186" s="16" t="inlineStr">
        <is>
          <t>NTB2521ZAPAT00053</t>
        </is>
      </c>
      <c r="B186" s="16" t="inlineStr">
        <is>
          <t>Zapata County Airport</t>
        </is>
      </c>
      <c r="C186" s="16" t="inlineStr">
        <is>
          <t>2521ZAPAT</t>
        </is>
      </c>
      <c r="D186" s="17" t="n">
        <v>46309.54166666666</v>
      </c>
      <c r="E186" s="16" t="inlineStr">
        <is>
          <t>Foremost Paving, Inc.</t>
        </is>
      </c>
      <c r="F186" s="16" t="n">
        <v>3</v>
      </c>
      <c r="G186" s="19" t="inlineStr">
        <is>
          <t>No</t>
        </is>
      </c>
      <c r="H186" s="16" t="inlineStr">
        <is>
          <t>P-610-6.2</t>
        </is>
      </c>
      <c r="I186" s="16" t="inlineStr">
        <is>
          <t>PREPARE, INSTALL 100- X 10- FOOT THRESHOLD CONCRETE PAD AROUND L-806 LIGHT BASES, COMPLETE IN PLACE</t>
        </is>
      </c>
      <c r="J186" s="16" t="inlineStr">
        <is>
          <t>EA</t>
        </is>
      </c>
      <c r="K186" s="21" t="n">
        <v>2</v>
      </c>
      <c r="L186" s="19" t="n">
        <v>34430</v>
      </c>
      <c r="M186" s="19" t="n">
        <v>68860</v>
      </c>
      <c r="N186" s="16" t="inlineStr">
        <is>
          <t>Yes</t>
        </is>
      </c>
    </row>
    <row r="187">
      <c r="A187" s="16" t="inlineStr">
        <is>
          <t>NTB2521ZAPAT00053</t>
        </is>
      </c>
      <c r="B187" s="16" t="inlineStr">
        <is>
          <t>Zapata County Airport</t>
        </is>
      </c>
      <c r="C187" s="16" t="inlineStr">
        <is>
          <t>2521ZAPAT</t>
        </is>
      </c>
      <c r="D187" s="17" t="n">
        <v>46309.54166666666</v>
      </c>
      <c r="E187" s="16" t="inlineStr">
        <is>
          <t>Foremost Paving, Inc.</t>
        </is>
      </c>
      <c r="F187" s="16" t="n">
        <v>3</v>
      </c>
      <c r="G187" s="19" t="inlineStr">
        <is>
          <t>No</t>
        </is>
      </c>
      <c r="H187" s="16" t="inlineStr">
        <is>
          <t>P-610-6.3</t>
        </is>
      </c>
      <c r="I187" s="16" t="inlineStr">
        <is>
          <t>PREPARE, INSTALL 40- X 10-FOOT DISPLACED THRESHOLD CONCRETE PAD AROUND L-806 LIGHT BASES, COMPLETE IN PLACE</t>
        </is>
      </c>
      <c r="J187" s="16" t="inlineStr">
        <is>
          <t>EA</t>
        </is>
      </c>
      <c r="K187" s="21" t="n">
        <v>4</v>
      </c>
      <c r="L187" s="19" t="n">
        <v>14190</v>
      </c>
      <c r="M187" s="19" t="n">
        <v>56760</v>
      </c>
      <c r="N187" s="16" t="inlineStr">
        <is>
          <t>Yes</t>
        </is>
      </c>
    </row>
  </sheetData>
  <autoFilter ref="A1:N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2026-10-19T21:22:00Z</dcterms:created>
  <dcterms:modified xsi:type="dcterms:W3CDTF">2026-10-19T21:22:00Z</dcterms:modified>
</cp:coreProperties>
</file>