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Unit Prices" sheetId="1" state="visible" r:id="rId3"/>
    <sheet name="Projects" sheetId="2" state="visible" r:id="rId4"/>
    <sheet name="Bid Data" sheetId="3" state="visible" r:id="rId5"/>
  </sheets>
  <definedNames>
    <definedName function="false" hidden="true" localSheetId="2" name="_xlnm._FilterDatabase" vbProcedure="false">'Bid Data'!$A$1:$N$34</definedName>
    <definedName function="false" hidden="true" localSheetId="1" name="_xlnm._FilterDatabase" vbProcedure="false">Projects!$A$1:$N$2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<sst xmlns="http://schemas.openxmlformats.org/spreadsheetml/2006/main" count="387" uniqueCount="68">
  <si>
    <t xml:space="preserve">Statewide Unit Bid Prices (Low Bid)</t>
  </si>
  <si>
    <t xml:space="preserve">One row per bid item; each project adds a Unit Price / Qty block. Values are live formulas over the Bid Data sheet.</t>
  </si>
  <si>
    <t xml:space="preserve">Project</t>
  </si>
  <si>
    <t xml:space="preserve">Lockhart Municipal (October 2026)</t>
  </si>
  <si>
    <t xml:space="preserve">Project ID</t>
  </si>
  <si>
    <t xml:space="preserve">NTB2614LHART00034</t>
  </si>
  <si>
    <t xml:space="preserve">CSJ</t>
  </si>
  <si>
    <t xml:space="preserve">Bid Date</t>
  </si>
  <si>
    <t xml:space="preserve">Region</t>
  </si>
  <si>
    <t xml:space="preserve">Price Age</t>
  </si>
  <si>
    <t xml:space="preserve">Low Bidder</t>
  </si>
  <si>
    <t xml:space="preserve">Average Low-Bid Unit Price (not inflation-adjusted)</t>
  </si>
  <si>
    <t xml:space="preserve">Item</t>
  </si>
  <si>
    <t xml:space="preserve">Description</t>
  </si>
  <si>
    <t xml:space="preserve">Unit</t>
  </si>
  <si>
    <t xml:space="preserve">Unit Price</t>
  </si>
  <si>
    <t xml:space="preserve">Qty</t>
  </si>
  <si>
    <t xml:space="preserve">Last Quarter</t>
  </si>
  <si>
    <t xml:space="preserve">Last 6 Months</t>
  </si>
  <si>
    <t xml:space="preserve">Last Year</t>
  </si>
  <si>
    <t xml:space="preserve">All Projects</t>
  </si>
  <si>
    <t xml:space="preserve"># Projects</t>
  </si>
  <si>
    <t xml:space="preserve">C-105</t>
  </si>
  <si>
    <t xml:space="preserve">MOBILIZATION</t>
  </si>
  <si>
    <t xml:space="preserve">LS</t>
  </si>
  <si>
    <t xml:space="preserve">F-164.1</t>
  </si>
  <si>
    <t xml:space="preserve">REMOVE EXISTING FENCE AND GATES</t>
  </si>
  <si>
    <t xml:space="preserve">LF</t>
  </si>
  <si>
    <t xml:space="preserve">F-164.2</t>
  </si>
  <si>
    <t xml:space="preserve">INSTALL 8 FT TALL GAME FENCING</t>
  </si>
  <si>
    <t xml:space="preserve">F-164.3a</t>
  </si>
  <si>
    <t xml:space="preserve">INSTALL NEW AUTOMATED GATE AND ASSOCIATED ELECTRICAL</t>
  </si>
  <si>
    <t xml:space="preserve">EA</t>
  </si>
  <si>
    <t xml:space="preserve">F-164.3b</t>
  </si>
  <si>
    <t xml:space="preserve">INSTALL 16' SWING GATE</t>
  </si>
  <si>
    <t xml:space="preserve">F-164.3c</t>
  </si>
  <si>
    <t xml:space="preserve">INSTALL PEDESTRIAN GATE</t>
  </si>
  <si>
    <t xml:space="preserve">F-164.4</t>
  </si>
  <si>
    <t xml:space="preserve">INSTALL PREDATOR APRON</t>
  </si>
  <si>
    <t xml:space="preserve">F-164.5</t>
  </si>
  <si>
    <t xml:space="preserve">INSTALL WATER GAP</t>
  </si>
  <si>
    <t xml:space="preserve">L-125</t>
  </si>
  <si>
    <t xml:space="preserve">INSTALL SOLAR POWERED OBSTRUCTION LIGHT, COMPLETE</t>
  </si>
  <si>
    <t xml:space="preserve">TX-100</t>
  </si>
  <si>
    <t xml:space="preserve">PREPARING RIGHT OF WAY</t>
  </si>
  <si>
    <t xml:space="preserve">TX-506</t>
  </si>
  <si>
    <t xml:space="preserve">MISCELLANEOUS EROSION CONTROL</t>
  </si>
  <si>
    <t xml:space="preserve">Airport</t>
  </si>
  <si>
    <t xml:space="preserve">Scope</t>
  </si>
  <si>
    <t xml:space="preserve">Location</t>
  </si>
  <si>
    <t xml:space="preserve">Bidders</t>
  </si>
  <si>
    <t xml:space="preserve">Low Bid</t>
  </si>
  <si>
    <t xml:space="preserve">Source PDF</t>
  </si>
  <si>
    <t xml:space="preserve">Last Updated</t>
  </si>
  <si>
    <t xml:space="preserve">Lockhart Municipal Airport</t>
  </si>
  <si>
    <t xml:space="preserve">2614LHART</t>
  </si>
  <si>
    <t xml:space="preserve">Fencing</t>
  </si>
  <si>
    <t xml:space="preserve">WILDLIFE FENCING AND GATES</t>
  </si>
  <si>
    <t xml:space="preserve">Stassney</t>
  </si>
  <si>
    <t xml:space="preserve">Delta Specialty Contractors LLC</t>
  </si>
  <si>
    <t xml:space="preserve">Bidder</t>
  </si>
  <si>
    <t xml:space="preserve">Bid Rank</t>
  </si>
  <si>
    <t xml:space="preserve">Total</t>
  </si>
  <si>
    <t xml:space="preserve">Verified</t>
  </si>
  <si>
    <t xml:space="preserve">Yes</t>
  </si>
  <si>
    <t xml:space="preserve">Fencing Unlimited LLC</t>
  </si>
  <si>
    <t xml:space="preserve">No</t>
  </si>
  <si>
    <t xml:space="preserve">Digg Commercial LLC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</si>
</sst>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\$#,##0.00;&quot;($&quot;#,##0.00\);\-"/>
    <numFmt numFmtId="167" formatCode="#,##0.##"/>
    <numFmt numFmtId="168" formatCode="yyyy\-mm\-dd"/>
    <numFmt numFmtId="169" formatCode="yyyy\-mm\-dd\ hh: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2CC"/>
      </patternFill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10" min="7" style="0" width="14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4" t="s">
        <v>3</v>
      </c>
      <c r="E4" s="4"/>
    </row>
    <row r="5" customFormat="false" ht="15" hidden="false" customHeight="true" outlineLevel="0" collapsed="false">
      <c r="A5" s="3" t="s">
        <v>4</v>
      </c>
      <c r="B5" s="3"/>
      <c r="C5" s="3"/>
      <c r="D5" s="5" t="s">
        <v>5</v>
      </c>
      <c r="E5" s="5"/>
    </row>
    <row r="6" customFormat="false" ht="15" hidden="false" customHeight="false" outlineLevel="0" collapsed="false">
      <c r="A6" s="3" t="s">
        <v>6</v>
      </c>
      <c r="B6" s="3"/>
      <c r="C6" s="3"/>
      <c r="D6" s="5" t="str">
        <f aca="false">INDEX(Projects!$C:$C,MATCH(D$5,Projects!$A:$A,0))</f>
        <v>2614LHART</v>
      </c>
      <c r="E6" s="5"/>
    </row>
    <row r="7" customFormat="false" ht="15" hidden="false" customHeight="false" outlineLevel="0" collapsed="false">
      <c r="A7" s="3" t="s">
        <v>7</v>
      </c>
      <c r="B7" s="3"/>
      <c r="C7" s="3"/>
      <c r="D7" s="6" t="n">
        <f aca="false">INDEX(Projects!$F:$F,MATCH(D$5,Projects!$A:$A,0))</f>
        <v>46302.5416666667</v>
      </c>
      <c r="E7" s="6"/>
    </row>
    <row r="8" customFormat="false" ht="15" hidden="false" customHeight="false" outlineLevel="0" collapsed="false">
      <c r="A8" s="3" t="s">
        <v>8</v>
      </c>
      <c r="B8" s="3"/>
      <c r="C8" s="3"/>
      <c r="D8" s="5" t="str">
        <f aca="false">IF(INDEX(Projects!$H:$H,MATCH(D$5,Projects!$A:$A,0))="","(not set)",INDEX(Projects!$H:$H,MATCH(D$5,Projects!$A:$A,0)))</f>
        <v>(not set)</v>
      </c>
      <c r="E8" s="5"/>
    </row>
    <row r="9" customFormat="false" ht="15" hidden="false" customHeight="false" outlineLevel="0" collapsed="false">
      <c r="A9" s="3" t="s">
        <v>9</v>
      </c>
      <c r="B9" s="3"/>
      <c r="C9" s="3"/>
      <c r="D9" s="5" t="str">
        <f aca="true">IF(D$7="","",IF(TODAY()-D$7&lt;=91,"Last quarter",IF(TODAY()-D$7&lt;=183,"Last 6 months",IF(TODAY()-D$7&lt;=365,"Last year","Older than 1 year"))))</f>
        <v>Last quarter</v>
      </c>
      <c r="E9" s="5"/>
    </row>
    <row r="10" customFormat="false" ht="30" hidden="false" customHeight="true" outlineLevel="0" collapsed="false">
      <c r="A10" s="3" t="s">
        <v>10</v>
      </c>
      <c r="B10" s="3"/>
      <c r="C10" s="3"/>
      <c r="D10" s="5" t="str">
        <f aca="false">INDEX(Projects!$J:$J,MATCH(D$5,Projects!$A:$A,0))</f>
        <v>Delta Specialty Contractors LLC</v>
      </c>
      <c r="E10" s="5"/>
      <c r="G10" s="7" t="s">
        <v>11</v>
      </c>
      <c r="H10" s="7"/>
      <c r="I10" s="7"/>
      <c r="J10" s="7"/>
      <c r="K10" s="7"/>
    </row>
    <row r="11" customFormat="false" ht="15" hidden="false" customHeight="false" outlineLevel="0" collapsed="false">
      <c r="A11" s="8" t="s">
        <v>12</v>
      </c>
      <c r="B11" s="8" t="s">
        <v>13</v>
      </c>
      <c r="C11" s="8" t="s">
        <v>14</v>
      </c>
      <c r="D11" s="8" t="s">
        <v>15</v>
      </c>
      <c r="E11" s="8" t="s">
        <v>16</v>
      </c>
      <c r="G11" s="9" t="s">
        <v>17</v>
      </c>
      <c r="H11" s="9" t="s">
        <v>18</v>
      </c>
      <c r="I11" s="9" t="s">
        <v>19</v>
      </c>
      <c r="J11" s="9" t="s">
        <v>20</v>
      </c>
      <c r="K11" s="8" t="s">
        <v>21</v>
      </c>
    </row>
    <row r="12" customFormat="false" ht="15" hidden="false" customHeight="false" outlineLevel="0" collapsed="false">
      <c r="A12" s="10" t="s">
        <v>22</v>
      </c>
      <c r="B12" s="11" t="s">
        <v>23</v>
      </c>
      <c r="C12" s="10" t="s">
        <v>24</v>
      </c>
      <c r="D12" s="12" t="n">
        <f aca="false">IF(COUNTIFS('Bid Data'!$A:$A,D$5,'Bid Data'!$H:$H,$A12,'Bid Data'!$J:$J,$C12,'Bid Data'!$G:$G,"Yes")=0,"",SUMIFS('Bid Data'!$L:$L,'Bid Data'!$A:$A,D$5,'Bid Data'!$H:$H,$A12,'Bid Data'!$J:$J,$C12,'Bid Data'!$G:$G,"Yes"))</f>
        <v>14000</v>
      </c>
      <c r="E12" s="13" t="n">
        <f aca="false">IF(COUNTIFS('Bid Data'!$A:$A,D$5,'Bid Data'!$H:$H,$A12,'Bid Data'!$J:$J,$C12,'Bid Data'!$G:$G,"Yes")=0,"",SUMIFS('Bid Data'!$K:$K,'Bid Data'!$A:$A,D$5,'Bid Data'!$H:$H,$A12,'Bid Data'!$J:$J,$C12,'Bid Data'!$G:$G,"Yes"))</f>
        <v>1</v>
      </c>
      <c r="G12" s="12" t="n">
        <f aca="true">IFERROR(AVERAGEIFS('Bid Data'!$L:$L,'Bid Data'!$H:$H,$A12,'Bid Data'!$J:$J,$C12,'Bid Data'!$G:$G,"Yes",'Bid Data'!$D:$D,"&gt;="&amp;(TODAY()-91)),"")</f>
        <v>14000</v>
      </c>
      <c r="H12" s="12" t="n">
        <f aca="true">IFERROR(AVERAGEIFS('Bid Data'!$L:$L,'Bid Data'!$H:$H,$A12,'Bid Data'!$J:$J,$C12,'Bid Data'!$G:$G,"Yes",'Bid Data'!$D:$D,"&gt;="&amp;(TODAY()-183)),"")</f>
        <v>14000</v>
      </c>
      <c r="I12" s="12" t="n">
        <f aca="true">IFERROR(AVERAGEIFS('Bid Data'!$L:$L,'Bid Data'!$H:$H,$A12,'Bid Data'!$J:$J,$C12,'Bid Data'!$G:$G,"Yes",'Bid Data'!$D:$D,"&gt;="&amp;(TODAY()-365)),"")</f>
        <v>14000</v>
      </c>
      <c r="J12" s="12" t="n">
        <f aca="false">IFERROR(AVERAGEIFS('Bid Data'!$L:$L,'Bid Data'!$H:$H,$A12,'Bid Data'!$J:$J,$C12,'Bid Data'!$G:$G,"Yes"),"")</f>
        <v>14000</v>
      </c>
      <c r="K12" s="10" t="n">
        <f aca="false">COUNTIFS('Bid Data'!$H:$H,$A12,'Bid Data'!$J:$J,$C12,'Bid Data'!$G:$G,"Yes")</f>
        <v>1</v>
      </c>
    </row>
    <row r="13" customFormat="false" ht="15" hidden="false" customHeight="false" outlineLevel="0" collapsed="false">
      <c r="A13" s="10" t="s">
        <v>25</v>
      </c>
      <c r="B13" s="11" t="s">
        <v>26</v>
      </c>
      <c r="C13" s="10" t="s">
        <v>27</v>
      </c>
      <c r="D13" s="12" t="n">
        <f aca="false">IF(COUNTIFS('Bid Data'!$A:$A,D$5,'Bid Data'!$H:$H,$A13,'Bid Data'!$J:$J,$C13,'Bid Data'!$G:$G,"Yes")=0,"",SUMIFS('Bid Data'!$L:$L,'Bid Data'!$A:$A,D$5,'Bid Data'!$H:$H,$A13,'Bid Data'!$J:$J,$C13,'Bid Data'!$G:$G,"Yes"))</f>
        <v>1.5</v>
      </c>
      <c r="E13" s="13" t="n">
        <f aca="false">IF(COUNTIFS('Bid Data'!$A:$A,D$5,'Bid Data'!$H:$H,$A13,'Bid Data'!$J:$J,$C13,'Bid Data'!$G:$G,"Yes")=0,"",SUMIFS('Bid Data'!$K:$K,'Bid Data'!$A:$A,D$5,'Bid Data'!$H:$H,$A13,'Bid Data'!$J:$J,$C13,'Bid Data'!$G:$G,"Yes"))</f>
        <v>18750</v>
      </c>
      <c r="G13" s="12" t="n">
        <f aca="true">IFERROR(AVERAGEIFS('Bid Data'!$L:$L,'Bid Data'!$H:$H,$A13,'Bid Data'!$J:$J,$C13,'Bid Data'!$G:$G,"Yes",'Bid Data'!$D:$D,"&gt;="&amp;(TODAY()-91)),"")</f>
        <v>1.5</v>
      </c>
      <c r="H13" s="12" t="n">
        <f aca="true">IFERROR(AVERAGEIFS('Bid Data'!$L:$L,'Bid Data'!$H:$H,$A13,'Bid Data'!$J:$J,$C13,'Bid Data'!$G:$G,"Yes",'Bid Data'!$D:$D,"&gt;="&amp;(TODAY()-183)),"")</f>
        <v>1.5</v>
      </c>
      <c r="I13" s="12" t="n">
        <f aca="true">IFERROR(AVERAGEIFS('Bid Data'!$L:$L,'Bid Data'!$H:$H,$A13,'Bid Data'!$J:$J,$C13,'Bid Data'!$G:$G,"Yes",'Bid Data'!$D:$D,"&gt;="&amp;(TODAY()-365)),"")</f>
        <v>1.5</v>
      </c>
      <c r="J13" s="12" t="n">
        <f aca="false">IFERROR(AVERAGEIFS('Bid Data'!$L:$L,'Bid Data'!$H:$H,$A13,'Bid Data'!$J:$J,$C13,'Bid Data'!$G:$G,"Yes"),"")</f>
        <v>1.5</v>
      </c>
      <c r="K13" s="10" t="n">
        <f aca="false">COUNTIFS('Bid Data'!$H:$H,$A13,'Bid Data'!$J:$J,$C13,'Bid Data'!$G:$G,"Yes")</f>
        <v>1</v>
      </c>
    </row>
    <row r="14" customFormat="false" ht="15" hidden="false" customHeight="false" outlineLevel="0" collapsed="false">
      <c r="A14" s="10" t="s">
        <v>28</v>
      </c>
      <c r="B14" s="11" t="s">
        <v>29</v>
      </c>
      <c r="C14" s="10" t="s">
        <v>27</v>
      </c>
      <c r="D14" s="12" t="n">
        <f aca="false">IF(COUNTIFS('Bid Data'!$A:$A,D$5,'Bid Data'!$H:$H,$A14,'Bid Data'!$J:$J,$C14,'Bid Data'!$G:$G,"Yes")=0,"",SUMIFS('Bid Data'!$L:$L,'Bid Data'!$A:$A,D$5,'Bid Data'!$H:$H,$A14,'Bid Data'!$J:$J,$C14,'Bid Data'!$G:$G,"Yes"))</f>
        <v>21</v>
      </c>
      <c r="E14" s="13" t="n">
        <f aca="false">IF(COUNTIFS('Bid Data'!$A:$A,D$5,'Bid Data'!$H:$H,$A14,'Bid Data'!$J:$J,$C14,'Bid Data'!$G:$G,"Yes")=0,"",SUMIFS('Bid Data'!$K:$K,'Bid Data'!$A:$A,D$5,'Bid Data'!$H:$H,$A14,'Bid Data'!$J:$J,$C14,'Bid Data'!$G:$G,"Yes"))</f>
        <v>17730</v>
      </c>
      <c r="G14" s="12" t="n">
        <f aca="true">IFERROR(AVERAGEIFS('Bid Data'!$L:$L,'Bid Data'!$H:$H,$A14,'Bid Data'!$J:$J,$C14,'Bid Data'!$G:$G,"Yes",'Bid Data'!$D:$D,"&gt;="&amp;(TODAY()-91)),"")</f>
        <v>21</v>
      </c>
      <c r="H14" s="12" t="n">
        <f aca="true">IFERROR(AVERAGEIFS('Bid Data'!$L:$L,'Bid Data'!$H:$H,$A14,'Bid Data'!$J:$J,$C14,'Bid Data'!$G:$G,"Yes",'Bid Data'!$D:$D,"&gt;="&amp;(TODAY()-183)),"")</f>
        <v>21</v>
      </c>
      <c r="I14" s="12" t="n">
        <f aca="true">IFERROR(AVERAGEIFS('Bid Data'!$L:$L,'Bid Data'!$H:$H,$A14,'Bid Data'!$J:$J,$C14,'Bid Data'!$G:$G,"Yes",'Bid Data'!$D:$D,"&gt;="&amp;(TODAY()-365)),"")</f>
        <v>21</v>
      </c>
      <c r="J14" s="12" t="n">
        <f aca="false">IFERROR(AVERAGEIFS('Bid Data'!$L:$L,'Bid Data'!$H:$H,$A14,'Bid Data'!$J:$J,$C14,'Bid Data'!$G:$G,"Yes"),"")</f>
        <v>21</v>
      </c>
      <c r="K14" s="10" t="n">
        <f aca="false">COUNTIFS('Bid Data'!$H:$H,$A14,'Bid Data'!$J:$J,$C14,'Bid Data'!$G:$G,"Yes")</f>
        <v>1</v>
      </c>
    </row>
    <row r="15" customFormat="false" ht="23.85" hidden="false" customHeight="false" outlineLevel="0" collapsed="false">
      <c r="A15" s="10" t="s">
        <v>30</v>
      </c>
      <c r="B15" s="11" t="s">
        <v>31</v>
      </c>
      <c r="C15" s="10" t="s">
        <v>32</v>
      </c>
      <c r="D15" s="12" t="n">
        <f aca="false">IF(COUNTIFS('Bid Data'!$A:$A,D$5,'Bid Data'!$H:$H,$A15,'Bid Data'!$J:$J,$C15,'Bid Data'!$G:$G,"Yes")=0,"",SUMIFS('Bid Data'!$L:$L,'Bid Data'!$A:$A,D$5,'Bid Data'!$H:$H,$A15,'Bid Data'!$J:$J,$C15,'Bid Data'!$G:$G,"Yes"))</f>
        <v>29500</v>
      </c>
      <c r="E15" s="13" t="n">
        <f aca="false">IF(COUNTIFS('Bid Data'!$A:$A,D$5,'Bid Data'!$H:$H,$A15,'Bid Data'!$J:$J,$C15,'Bid Data'!$G:$G,"Yes")=0,"",SUMIFS('Bid Data'!$K:$K,'Bid Data'!$A:$A,D$5,'Bid Data'!$H:$H,$A15,'Bid Data'!$J:$J,$C15,'Bid Data'!$G:$G,"Yes"))</f>
        <v>1</v>
      </c>
      <c r="G15" s="12" t="n">
        <f aca="true">IFERROR(AVERAGEIFS('Bid Data'!$L:$L,'Bid Data'!$H:$H,$A15,'Bid Data'!$J:$J,$C15,'Bid Data'!$G:$G,"Yes",'Bid Data'!$D:$D,"&gt;="&amp;(TODAY()-91)),"")</f>
        <v>29500</v>
      </c>
      <c r="H15" s="12" t="n">
        <f aca="true">IFERROR(AVERAGEIFS('Bid Data'!$L:$L,'Bid Data'!$H:$H,$A15,'Bid Data'!$J:$J,$C15,'Bid Data'!$G:$G,"Yes",'Bid Data'!$D:$D,"&gt;="&amp;(TODAY()-183)),"")</f>
        <v>29500</v>
      </c>
      <c r="I15" s="12" t="n">
        <f aca="true">IFERROR(AVERAGEIFS('Bid Data'!$L:$L,'Bid Data'!$H:$H,$A15,'Bid Data'!$J:$J,$C15,'Bid Data'!$G:$G,"Yes",'Bid Data'!$D:$D,"&gt;="&amp;(TODAY()-365)),"")</f>
        <v>29500</v>
      </c>
      <c r="J15" s="12" t="n">
        <f aca="false">IFERROR(AVERAGEIFS('Bid Data'!$L:$L,'Bid Data'!$H:$H,$A15,'Bid Data'!$J:$J,$C15,'Bid Data'!$G:$G,"Yes"),"")</f>
        <v>29500</v>
      </c>
      <c r="K15" s="10" t="n">
        <f aca="false">COUNTIFS('Bid Data'!$H:$H,$A15,'Bid Data'!$J:$J,$C15,'Bid Data'!$G:$G,"Yes")</f>
        <v>1</v>
      </c>
    </row>
    <row r="16" customFormat="false" ht="15" hidden="false" customHeight="false" outlineLevel="0" collapsed="false">
      <c r="A16" s="10" t="s">
        <v>33</v>
      </c>
      <c r="B16" s="11" t="s">
        <v>34</v>
      </c>
      <c r="C16" s="10" t="s">
        <v>32</v>
      </c>
      <c r="D16" s="12" t="n">
        <f aca="false">IF(COUNTIFS('Bid Data'!$A:$A,D$5,'Bid Data'!$H:$H,$A16,'Bid Data'!$J:$J,$C16,'Bid Data'!$G:$G,"Yes")=0,"",SUMIFS('Bid Data'!$L:$L,'Bid Data'!$A:$A,D$5,'Bid Data'!$H:$H,$A16,'Bid Data'!$J:$J,$C16,'Bid Data'!$G:$G,"Yes"))</f>
        <v>2250</v>
      </c>
      <c r="E16" s="13" t="n">
        <f aca="false">IF(COUNTIFS('Bid Data'!$A:$A,D$5,'Bid Data'!$H:$H,$A16,'Bid Data'!$J:$J,$C16,'Bid Data'!$G:$G,"Yes")=0,"",SUMIFS('Bid Data'!$K:$K,'Bid Data'!$A:$A,D$5,'Bid Data'!$H:$H,$A16,'Bid Data'!$J:$J,$C16,'Bid Data'!$G:$G,"Yes"))</f>
        <v>3</v>
      </c>
      <c r="G16" s="12" t="n">
        <f aca="true">IFERROR(AVERAGEIFS('Bid Data'!$L:$L,'Bid Data'!$H:$H,$A16,'Bid Data'!$J:$J,$C16,'Bid Data'!$G:$G,"Yes",'Bid Data'!$D:$D,"&gt;="&amp;(TODAY()-91)),"")</f>
        <v>2250</v>
      </c>
      <c r="H16" s="12" t="n">
        <f aca="true">IFERROR(AVERAGEIFS('Bid Data'!$L:$L,'Bid Data'!$H:$H,$A16,'Bid Data'!$J:$J,$C16,'Bid Data'!$G:$G,"Yes",'Bid Data'!$D:$D,"&gt;="&amp;(TODAY()-183)),"")</f>
        <v>2250</v>
      </c>
      <c r="I16" s="12" t="n">
        <f aca="true">IFERROR(AVERAGEIFS('Bid Data'!$L:$L,'Bid Data'!$H:$H,$A16,'Bid Data'!$J:$J,$C16,'Bid Data'!$G:$G,"Yes",'Bid Data'!$D:$D,"&gt;="&amp;(TODAY()-365)),"")</f>
        <v>2250</v>
      </c>
      <c r="J16" s="12" t="n">
        <f aca="false">IFERROR(AVERAGEIFS('Bid Data'!$L:$L,'Bid Data'!$H:$H,$A16,'Bid Data'!$J:$J,$C16,'Bid Data'!$G:$G,"Yes"),"")</f>
        <v>2250</v>
      </c>
      <c r="K16" s="10" t="n">
        <f aca="false">COUNTIFS('Bid Data'!$H:$H,$A16,'Bid Data'!$J:$J,$C16,'Bid Data'!$G:$G,"Yes")</f>
        <v>1</v>
      </c>
    </row>
    <row r="17" customFormat="false" ht="15" hidden="false" customHeight="false" outlineLevel="0" collapsed="false">
      <c r="A17" s="10" t="s">
        <v>35</v>
      </c>
      <c r="B17" s="11" t="s">
        <v>36</v>
      </c>
      <c r="C17" s="10" t="s">
        <v>32</v>
      </c>
      <c r="D17" s="12" t="n">
        <f aca="false">IF(COUNTIFS('Bid Data'!$A:$A,D$5,'Bid Data'!$H:$H,$A17,'Bid Data'!$J:$J,$C17,'Bid Data'!$G:$G,"Yes")=0,"",SUMIFS('Bid Data'!$L:$L,'Bid Data'!$A:$A,D$5,'Bid Data'!$H:$H,$A17,'Bid Data'!$J:$J,$C17,'Bid Data'!$G:$G,"Yes"))</f>
        <v>1850</v>
      </c>
      <c r="E17" s="13" t="n">
        <f aca="false">IF(COUNTIFS('Bid Data'!$A:$A,D$5,'Bid Data'!$H:$H,$A17,'Bid Data'!$J:$J,$C17,'Bid Data'!$G:$G,"Yes")=0,"",SUMIFS('Bid Data'!$K:$K,'Bid Data'!$A:$A,D$5,'Bid Data'!$H:$H,$A17,'Bid Data'!$J:$J,$C17,'Bid Data'!$G:$G,"Yes"))</f>
        <v>1</v>
      </c>
      <c r="G17" s="12" t="n">
        <f aca="true">IFERROR(AVERAGEIFS('Bid Data'!$L:$L,'Bid Data'!$H:$H,$A17,'Bid Data'!$J:$J,$C17,'Bid Data'!$G:$G,"Yes",'Bid Data'!$D:$D,"&gt;="&amp;(TODAY()-91)),"")</f>
        <v>1850</v>
      </c>
      <c r="H17" s="12" t="n">
        <f aca="true">IFERROR(AVERAGEIFS('Bid Data'!$L:$L,'Bid Data'!$H:$H,$A17,'Bid Data'!$J:$J,$C17,'Bid Data'!$G:$G,"Yes",'Bid Data'!$D:$D,"&gt;="&amp;(TODAY()-183)),"")</f>
        <v>1850</v>
      </c>
      <c r="I17" s="12" t="n">
        <f aca="true">IFERROR(AVERAGEIFS('Bid Data'!$L:$L,'Bid Data'!$H:$H,$A17,'Bid Data'!$J:$J,$C17,'Bid Data'!$G:$G,"Yes",'Bid Data'!$D:$D,"&gt;="&amp;(TODAY()-365)),"")</f>
        <v>1850</v>
      </c>
      <c r="J17" s="12" t="n">
        <f aca="false">IFERROR(AVERAGEIFS('Bid Data'!$L:$L,'Bid Data'!$H:$H,$A17,'Bid Data'!$J:$J,$C17,'Bid Data'!$G:$G,"Yes"),"")</f>
        <v>1850</v>
      </c>
      <c r="K17" s="10" t="n">
        <f aca="false">COUNTIFS('Bid Data'!$H:$H,$A17,'Bid Data'!$J:$J,$C17,'Bid Data'!$G:$G,"Yes")</f>
        <v>1</v>
      </c>
    </row>
    <row r="18" customFormat="false" ht="15" hidden="false" customHeight="false" outlineLevel="0" collapsed="false">
      <c r="A18" s="10" t="s">
        <v>37</v>
      </c>
      <c r="B18" s="11" t="s">
        <v>38</v>
      </c>
      <c r="C18" s="10" t="s">
        <v>27</v>
      </c>
      <c r="D18" s="12" t="n">
        <f aca="false">IF(COUNTIFS('Bid Data'!$A:$A,D$5,'Bid Data'!$H:$H,$A18,'Bid Data'!$J:$J,$C18,'Bid Data'!$G:$G,"Yes")=0,"",SUMIFS('Bid Data'!$L:$L,'Bid Data'!$A:$A,D$5,'Bid Data'!$H:$H,$A18,'Bid Data'!$J:$J,$C18,'Bid Data'!$G:$G,"Yes"))</f>
        <v>3</v>
      </c>
      <c r="E18" s="13" t="n">
        <f aca="false">IF(COUNTIFS('Bid Data'!$A:$A,D$5,'Bid Data'!$H:$H,$A18,'Bid Data'!$J:$J,$C18,'Bid Data'!$G:$G,"Yes")=0,"",SUMIFS('Bid Data'!$K:$K,'Bid Data'!$A:$A,D$5,'Bid Data'!$H:$H,$A18,'Bid Data'!$J:$J,$C18,'Bid Data'!$G:$G,"Yes"))</f>
        <v>17630</v>
      </c>
      <c r="G18" s="12" t="n">
        <f aca="true">IFERROR(AVERAGEIFS('Bid Data'!$L:$L,'Bid Data'!$H:$H,$A18,'Bid Data'!$J:$J,$C18,'Bid Data'!$G:$G,"Yes",'Bid Data'!$D:$D,"&gt;="&amp;(TODAY()-91)),"")</f>
        <v>3</v>
      </c>
      <c r="H18" s="12" t="n">
        <f aca="true">IFERROR(AVERAGEIFS('Bid Data'!$L:$L,'Bid Data'!$H:$H,$A18,'Bid Data'!$J:$J,$C18,'Bid Data'!$G:$G,"Yes",'Bid Data'!$D:$D,"&gt;="&amp;(TODAY()-183)),"")</f>
        <v>3</v>
      </c>
      <c r="I18" s="12" t="n">
        <f aca="true">IFERROR(AVERAGEIFS('Bid Data'!$L:$L,'Bid Data'!$H:$H,$A18,'Bid Data'!$J:$J,$C18,'Bid Data'!$G:$G,"Yes",'Bid Data'!$D:$D,"&gt;="&amp;(TODAY()-365)),"")</f>
        <v>3</v>
      </c>
      <c r="J18" s="12" t="n">
        <f aca="false">IFERROR(AVERAGEIFS('Bid Data'!$L:$L,'Bid Data'!$H:$H,$A18,'Bid Data'!$J:$J,$C18,'Bid Data'!$G:$G,"Yes"),"")</f>
        <v>3</v>
      </c>
      <c r="K18" s="10" t="n">
        <f aca="false">COUNTIFS('Bid Data'!$H:$H,$A18,'Bid Data'!$J:$J,$C18,'Bid Data'!$G:$G,"Yes")</f>
        <v>1</v>
      </c>
    </row>
    <row r="19" customFormat="false" ht="15" hidden="false" customHeight="false" outlineLevel="0" collapsed="false">
      <c r="A19" s="10" t="s">
        <v>39</v>
      </c>
      <c r="B19" s="11" t="s">
        <v>40</v>
      </c>
      <c r="C19" s="10" t="s">
        <v>32</v>
      </c>
      <c r="D19" s="12" t="n">
        <f aca="false">IF(COUNTIFS('Bid Data'!$A:$A,D$5,'Bid Data'!$H:$H,$A19,'Bid Data'!$J:$J,$C19,'Bid Data'!$G:$G,"Yes")=0,"",SUMIFS('Bid Data'!$L:$L,'Bid Data'!$A:$A,D$5,'Bid Data'!$H:$H,$A19,'Bid Data'!$J:$J,$C19,'Bid Data'!$G:$G,"Yes"))</f>
        <v>47500</v>
      </c>
      <c r="E19" s="13" t="n">
        <f aca="false">IF(COUNTIFS('Bid Data'!$A:$A,D$5,'Bid Data'!$H:$H,$A19,'Bid Data'!$J:$J,$C19,'Bid Data'!$G:$G,"Yes")=0,"",SUMIFS('Bid Data'!$K:$K,'Bid Data'!$A:$A,D$5,'Bid Data'!$H:$H,$A19,'Bid Data'!$J:$J,$C19,'Bid Data'!$G:$G,"Yes"))</f>
        <v>3</v>
      </c>
      <c r="G19" s="12" t="n">
        <f aca="true">IFERROR(AVERAGEIFS('Bid Data'!$L:$L,'Bid Data'!$H:$H,$A19,'Bid Data'!$J:$J,$C19,'Bid Data'!$G:$G,"Yes",'Bid Data'!$D:$D,"&gt;="&amp;(TODAY()-91)),"")</f>
        <v>47500</v>
      </c>
      <c r="H19" s="12" t="n">
        <f aca="true">IFERROR(AVERAGEIFS('Bid Data'!$L:$L,'Bid Data'!$H:$H,$A19,'Bid Data'!$J:$J,$C19,'Bid Data'!$G:$G,"Yes",'Bid Data'!$D:$D,"&gt;="&amp;(TODAY()-183)),"")</f>
        <v>47500</v>
      </c>
      <c r="I19" s="12" t="n">
        <f aca="true">IFERROR(AVERAGEIFS('Bid Data'!$L:$L,'Bid Data'!$H:$H,$A19,'Bid Data'!$J:$J,$C19,'Bid Data'!$G:$G,"Yes",'Bid Data'!$D:$D,"&gt;="&amp;(TODAY()-365)),"")</f>
        <v>47500</v>
      </c>
      <c r="J19" s="12" t="n">
        <f aca="false">IFERROR(AVERAGEIFS('Bid Data'!$L:$L,'Bid Data'!$H:$H,$A19,'Bid Data'!$J:$J,$C19,'Bid Data'!$G:$G,"Yes"),"")</f>
        <v>47500</v>
      </c>
      <c r="K19" s="10" t="n">
        <f aca="false">COUNTIFS('Bid Data'!$H:$H,$A19,'Bid Data'!$J:$J,$C19,'Bid Data'!$G:$G,"Yes")</f>
        <v>1</v>
      </c>
    </row>
    <row r="20" customFormat="false" ht="23.85" hidden="false" customHeight="false" outlineLevel="0" collapsed="false">
      <c r="A20" s="10" t="s">
        <v>41</v>
      </c>
      <c r="B20" s="11" t="s">
        <v>42</v>
      </c>
      <c r="C20" s="10" t="s">
        <v>32</v>
      </c>
      <c r="D20" s="12" t="n">
        <f aca="false">IF(COUNTIFS('Bid Data'!$A:$A,D$5,'Bid Data'!$H:$H,$A20,'Bid Data'!$J:$J,$C20,'Bid Data'!$G:$G,"Yes")=0,"",SUMIFS('Bid Data'!$L:$L,'Bid Data'!$A:$A,D$5,'Bid Data'!$H:$H,$A20,'Bid Data'!$J:$J,$C20,'Bid Data'!$G:$G,"Yes"))</f>
        <v>2850</v>
      </c>
      <c r="E20" s="13" t="n">
        <f aca="false">IF(COUNTIFS('Bid Data'!$A:$A,D$5,'Bid Data'!$H:$H,$A20,'Bid Data'!$J:$J,$C20,'Bid Data'!$G:$G,"Yes")=0,"",SUMIFS('Bid Data'!$K:$K,'Bid Data'!$A:$A,D$5,'Bid Data'!$H:$H,$A20,'Bid Data'!$J:$J,$C20,'Bid Data'!$G:$G,"Yes"))</f>
        <v>5</v>
      </c>
      <c r="G20" s="12" t="n">
        <f aca="true">IFERROR(AVERAGEIFS('Bid Data'!$L:$L,'Bid Data'!$H:$H,$A20,'Bid Data'!$J:$J,$C20,'Bid Data'!$G:$G,"Yes",'Bid Data'!$D:$D,"&gt;="&amp;(TODAY()-91)),"")</f>
        <v>2850</v>
      </c>
      <c r="H20" s="12" t="n">
        <f aca="true">IFERROR(AVERAGEIFS('Bid Data'!$L:$L,'Bid Data'!$H:$H,$A20,'Bid Data'!$J:$J,$C20,'Bid Data'!$G:$G,"Yes",'Bid Data'!$D:$D,"&gt;="&amp;(TODAY()-183)),"")</f>
        <v>2850</v>
      </c>
      <c r="I20" s="12" t="n">
        <f aca="true">IFERROR(AVERAGEIFS('Bid Data'!$L:$L,'Bid Data'!$H:$H,$A20,'Bid Data'!$J:$J,$C20,'Bid Data'!$G:$G,"Yes",'Bid Data'!$D:$D,"&gt;="&amp;(TODAY()-365)),"")</f>
        <v>2850</v>
      </c>
      <c r="J20" s="12" t="n">
        <f aca="false">IFERROR(AVERAGEIFS('Bid Data'!$L:$L,'Bid Data'!$H:$H,$A20,'Bid Data'!$J:$J,$C20,'Bid Data'!$G:$G,"Yes"),"")</f>
        <v>2850</v>
      </c>
      <c r="K20" s="10" t="n">
        <f aca="false">COUNTIFS('Bid Data'!$H:$H,$A20,'Bid Data'!$J:$J,$C20,'Bid Data'!$G:$G,"Yes")</f>
        <v>1</v>
      </c>
    </row>
    <row r="21" customFormat="false" ht="15" hidden="false" customHeight="false" outlineLevel="0" collapsed="false">
      <c r="A21" s="10" t="s">
        <v>43</v>
      </c>
      <c r="B21" s="11" t="s">
        <v>44</v>
      </c>
      <c r="C21" s="10" t="s">
        <v>24</v>
      </c>
      <c r="D21" s="12" t="n">
        <f aca="false">IF(COUNTIFS('Bid Data'!$A:$A,D$5,'Bid Data'!$H:$H,$A21,'Bid Data'!$J:$J,$C21,'Bid Data'!$G:$G,"Yes")=0,"",SUMIFS('Bid Data'!$L:$L,'Bid Data'!$A:$A,D$5,'Bid Data'!$H:$H,$A21,'Bid Data'!$J:$J,$C21,'Bid Data'!$G:$G,"Yes"))</f>
        <v>12500</v>
      </c>
      <c r="E21" s="13" t="n">
        <f aca="false">IF(COUNTIFS('Bid Data'!$A:$A,D$5,'Bid Data'!$H:$H,$A21,'Bid Data'!$J:$J,$C21,'Bid Data'!$G:$G,"Yes")=0,"",SUMIFS('Bid Data'!$K:$K,'Bid Data'!$A:$A,D$5,'Bid Data'!$H:$H,$A21,'Bid Data'!$J:$J,$C21,'Bid Data'!$G:$G,"Yes"))</f>
        <v>1</v>
      </c>
      <c r="G21" s="12" t="n">
        <f aca="true">IFERROR(AVERAGEIFS('Bid Data'!$L:$L,'Bid Data'!$H:$H,$A21,'Bid Data'!$J:$J,$C21,'Bid Data'!$G:$G,"Yes",'Bid Data'!$D:$D,"&gt;="&amp;(TODAY()-91)),"")</f>
        <v>12500</v>
      </c>
      <c r="H21" s="12" t="n">
        <f aca="true">IFERROR(AVERAGEIFS('Bid Data'!$L:$L,'Bid Data'!$H:$H,$A21,'Bid Data'!$J:$J,$C21,'Bid Data'!$G:$G,"Yes",'Bid Data'!$D:$D,"&gt;="&amp;(TODAY()-183)),"")</f>
        <v>12500</v>
      </c>
      <c r="I21" s="12" t="n">
        <f aca="true">IFERROR(AVERAGEIFS('Bid Data'!$L:$L,'Bid Data'!$H:$H,$A21,'Bid Data'!$J:$J,$C21,'Bid Data'!$G:$G,"Yes",'Bid Data'!$D:$D,"&gt;="&amp;(TODAY()-365)),"")</f>
        <v>12500</v>
      </c>
      <c r="J21" s="12" t="n">
        <f aca="false">IFERROR(AVERAGEIFS('Bid Data'!$L:$L,'Bid Data'!$H:$H,$A21,'Bid Data'!$J:$J,$C21,'Bid Data'!$G:$G,"Yes"),"")</f>
        <v>12500</v>
      </c>
      <c r="K21" s="10" t="n">
        <f aca="false">COUNTIFS('Bid Data'!$H:$H,$A21,'Bid Data'!$J:$J,$C21,'Bid Data'!$G:$G,"Yes")</f>
        <v>1</v>
      </c>
    </row>
    <row r="22" customFormat="false" ht="15" hidden="false" customHeight="false" outlineLevel="0" collapsed="false">
      <c r="A22" s="10" t="s">
        <v>45</v>
      </c>
      <c r="B22" s="11" t="s">
        <v>46</v>
      </c>
      <c r="C22" s="10" t="s">
        <v>24</v>
      </c>
      <c r="D22" s="12" t="n">
        <f aca="false">IF(COUNTIFS('Bid Data'!$A:$A,D$5,'Bid Data'!$H:$H,$A22,'Bid Data'!$J:$J,$C22,'Bid Data'!$G:$G,"Yes")=0,"",SUMIFS('Bid Data'!$L:$L,'Bid Data'!$A:$A,D$5,'Bid Data'!$H:$H,$A22,'Bid Data'!$J:$J,$C22,'Bid Data'!$G:$G,"Yes"))</f>
        <v>12000</v>
      </c>
      <c r="E22" s="13" t="n">
        <f aca="false">IF(COUNTIFS('Bid Data'!$A:$A,D$5,'Bid Data'!$H:$H,$A22,'Bid Data'!$J:$J,$C22,'Bid Data'!$G:$G,"Yes")=0,"",SUMIFS('Bid Data'!$K:$K,'Bid Data'!$A:$A,D$5,'Bid Data'!$H:$H,$A22,'Bid Data'!$J:$J,$C22,'Bid Data'!$G:$G,"Yes"))</f>
        <v>1</v>
      </c>
      <c r="G22" s="12" t="n">
        <f aca="true">IFERROR(AVERAGEIFS('Bid Data'!$L:$L,'Bid Data'!$H:$H,$A22,'Bid Data'!$J:$J,$C22,'Bid Data'!$G:$G,"Yes",'Bid Data'!$D:$D,"&gt;="&amp;(TODAY()-91)),"")</f>
        <v>12000</v>
      </c>
      <c r="H22" s="12" t="n">
        <f aca="true">IFERROR(AVERAGEIFS('Bid Data'!$L:$L,'Bid Data'!$H:$H,$A22,'Bid Data'!$J:$J,$C22,'Bid Data'!$G:$G,"Yes",'Bid Data'!$D:$D,"&gt;="&amp;(TODAY()-183)),"")</f>
        <v>12000</v>
      </c>
      <c r="I22" s="12" t="n">
        <f aca="true">IFERROR(AVERAGEIFS('Bid Data'!$L:$L,'Bid Data'!$H:$H,$A22,'Bid Data'!$J:$J,$C22,'Bid Data'!$G:$G,"Yes",'Bid Data'!$D:$D,"&gt;="&amp;(TODAY()-365)),"")</f>
        <v>12000</v>
      </c>
      <c r="J22" s="12" t="n">
        <f aca="false">IFERROR(AVERAGEIFS('Bid Data'!$L:$L,'Bid Data'!$H:$H,$A22,'Bid Data'!$J:$J,$C22,'Bid Data'!$G:$G,"Yes"),"")</f>
        <v>12000</v>
      </c>
      <c r="K22" s="10" t="n">
        <f aca="false">COUNTIFS('Bid Data'!$H:$H,$A22,'Bid Data'!$J:$J,$C22,'Bid Data'!$G:$G,"Yes")</f>
        <v>1</v>
      </c>
    </row>
  </sheetData>
  <mergeCells count="15">
    <mergeCell ref="A4:C4"/>
    <mergeCell ref="D4:E4"/>
    <mergeCell ref="A5:C5"/>
    <mergeCell ref="D5:E5"/>
    <mergeCell ref="A6:C6"/>
    <mergeCell ref="D6:E6"/>
    <mergeCell ref="A7:C7"/>
    <mergeCell ref="D7:E7"/>
    <mergeCell ref="A8:C8"/>
    <mergeCell ref="D8:E8"/>
    <mergeCell ref="A9:C9"/>
    <mergeCell ref="D9:E9"/>
    <mergeCell ref="A10:C10"/>
    <mergeCell ref="D10:E10"/>
    <mergeCell ref="G10:K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32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60"/>
    <col collapsed="false" customWidth="true" hidden="false" outlineLevel="0" max="14" min="14" style="0" width="17"/>
  </cols>
  <sheetData>
    <row r="1" customFormat="false" ht="15" hidden="false" customHeight="false" outlineLevel="0" collapsed="false">
      <c r="A1" s="14" t="s">
        <v>4</v>
      </c>
      <c r="B1" s="14" t="s">
        <v>47</v>
      </c>
      <c r="C1" s="14" t="s">
        <v>6</v>
      </c>
      <c r="D1" s="14" t="s">
        <v>48</v>
      </c>
      <c r="E1" s="14" t="s">
        <v>13</v>
      </c>
      <c r="F1" s="14" t="s">
        <v>7</v>
      </c>
      <c r="G1" s="14" t="s">
        <v>49</v>
      </c>
      <c r="H1" s="14" t="s">
        <v>8</v>
      </c>
      <c r="I1" s="14" t="s">
        <v>50</v>
      </c>
      <c r="J1" s="14" t="s">
        <v>10</v>
      </c>
      <c r="K1" s="14" t="s">
        <v>51</v>
      </c>
      <c r="L1" s="14" t="s">
        <v>9</v>
      </c>
      <c r="M1" s="14" t="s">
        <v>52</v>
      </c>
      <c r="N1" s="14" t="s">
        <v>53</v>
      </c>
    </row>
    <row r="2" customFormat="false" ht="15" hidden="false" customHeight="false" outlineLevel="0" collapsed="false">
      <c r="A2" s="15" t="s">
        <v>5</v>
      </c>
      <c r="B2" s="15" t="s">
        <v>54</v>
      </c>
      <c r="C2" s="15" t="s">
        <v>55</v>
      </c>
      <c r="D2" s="15" t="s">
        <v>56</v>
      </c>
      <c r="E2" s="15" t="s">
        <v>57</v>
      </c>
      <c r="F2" s="16" t="n">
        <v>46302.5416666667</v>
      </c>
      <c r="G2" s="15" t="s">
        <v>58</v>
      </c>
      <c r="H2" s="17"/>
      <c r="I2" s="15" t="n">
        <v>3</v>
      </c>
      <c r="J2" s="15" t="s">
        <v>59</v>
      </c>
      <c r="K2" s="18" t="n">
        <v>686695</v>
      </c>
      <c r="L2" s="15" t="str">
        <f aca="true">IF(F2="","",IF(TODAY()-F2&lt;=91,"Last quarter",IF(TODAY()-F2&lt;=183,"Last 6 months",IF(TODAY()-F2&lt;=365,"Last year","Older than 1 year"))))</f>
        <v>Last quarter</v>
      </c>
      <c r="M2" s="15"/>
      <c r="N2" s="19" t="n">
        <v>46313.8849189815</v>
      </c>
    </row>
  </sheetData>
  <autoFilter ref="A1:N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5" min="5" style="0" width="32"/>
    <col collapsed="false" customWidth="true" hidden="false" outlineLevel="0" max="8" min="6" style="0" width="12"/>
    <col collapsed="false" customWidth="true" hidden="false" outlineLevel="0" max="9" min="9" style="0" width="44"/>
    <col collapsed="false" customWidth="true" hidden="false" outlineLevel="0" max="14" min="10" style="0" width="12"/>
  </cols>
  <sheetData>
    <row r="1" customFormat="false" ht="15" hidden="false" customHeight="false" outlineLevel="0" collapsed="false">
      <c r="A1" s="14" t="s">
        <v>4</v>
      </c>
      <c r="B1" s="14" t="s">
        <v>47</v>
      </c>
      <c r="C1" s="14" t="s">
        <v>6</v>
      </c>
      <c r="D1" s="14" t="s">
        <v>7</v>
      </c>
      <c r="E1" s="14" t="s">
        <v>60</v>
      </c>
      <c r="F1" s="14" t="s">
        <v>61</v>
      </c>
      <c r="G1" s="14" t="s">
        <v>51</v>
      </c>
      <c r="H1" s="14" t="s">
        <v>12</v>
      </c>
      <c r="I1" s="14" t="s">
        <v>13</v>
      </c>
      <c r="J1" s="14" t="s">
        <v>14</v>
      </c>
      <c r="K1" s="14" t="s">
        <v>16</v>
      </c>
      <c r="L1" s="14" t="s">
        <v>15</v>
      </c>
      <c r="M1" s="14" t="s">
        <v>62</v>
      </c>
      <c r="N1" s="14" t="s">
        <v>63</v>
      </c>
    </row>
    <row r="2" customFormat="false" ht="15" hidden="false" customHeight="false" outlineLevel="0" collapsed="false">
      <c r="A2" s="15" t="s">
        <v>5</v>
      </c>
      <c r="B2" s="15" t="s">
        <v>54</v>
      </c>
      <c r="C2" s="15" t="s">
        <v>55</v>
      </c>
      <c r="D2" s="16" t="n">
        <v>46302.5416666667</v>
      </c>
      <c r="E2" s="15" t="s">
        <v>59</v>
      </c>
      <c r="F2" s="15" t="n">
        <v>1</v>
      </c>
      <c r="G2" s="18" t="s">
        <v>64</v>
      </c>
      <c r="H2" s="15" t="s">
        <v>22</v>
      </c>
      <c r="I2" s="15" t="s">
        <v>23</v>
      </c>
      <c r="J2" s="15" t="s">
        <v>24</v>
      </c>
      <c r="K2" s="20" t="n">
        <v>1</v>
      </c>
      <c r="L2" s="18" t="n">
        <v>14000</v>
      </c>
      <c r="M2" s="18" t="n">
        <v>14000</v>
      </c>
      <c r="N2" s="15" t="s">
        <v>64</v>
      </c>
    </row>
    <row r="3" customFormat="false" ht="15" hidden="false" customHeight="false" outlineLevel="0" collapsed="false">
      <c r="A3" s="15" t="s">
        <v>5</v>
      </c>
      <c r="B3" s="15" t="s">
        <v>54</v>
      </c>
      <c r="C3" s="15" t="s">
        <v>55</v>
      </c>
      <c r="D3" s="16" t="n">
        <v>46302.5416666667</v>
      </c>
      <c r="E3" s="15" t="s">
        <v>59</v>
      </c>
      <c r="F3" s="15" t="n">
        <v>1</v>
      </c>
      <c r="G3" s="18" t="s">
        <v>64</v>
      </c>
      <c r="H3" s="15" t="s">
        <v>43</v>
      </c>
      <c r="I3" s="15" t="s">
        <v>44</v>
      </c>
      <c r="J3" s="15" t="s">
        <v>24</v>
      </c>
      <c r="K3" s="20" t="n">
        <v>1</v>
      </c>
      <c r="L3" s="18" t="n">
        <v>12500</v>
      </c>
      <c r="M3" s="18" t="n">
        <v>12500</v>
      </c>
      <c r="N3" s="15" t="s">
        <v>64</v>
      </c>
    </row>
    <row r="4" customFormat="false" ht="15" hidden="false" customHeight="false" outlineLevel="0" collapsed="false">
      <c r="A4" s="15" t="s">
        <v>5</v>
      </c>
      <c r="B4" s="15" t="s">
        <v>54</v>
      </c>
      <c r="C4" s="15" t="s">
        <v>55</v>
      </c>
      <c r="D4" s="16" t="n">
        <v>46302.5416666667</v>
      </c>
      <c r="E4" s="15" t="s">
        <v>59</v>
      </c>
      <c r="F4" s="15" t="n">
        <v>1</v>
      </c>
      <c r="G4" s="18" t="s">
        <v>64</v>
      </c>
      <c r="H4" s="15" t="s">
        <v>25</v>
      </c>
      <c r="I4" s="15" t="s">
        <v>26</v>
      </c>
      <c r="J4" s="15" t="s">
        <v>27</v>
      </c>
      <c r="K4" s="20" t="n">
        <v>18750</v>
      </c>
      <c r="L4" s="18" t="n">
        <v>1.5</v>
      </c>
      <c r="M4" s="18" t="n">
        <v>28125</v>
      </c>
      <c r="N4" s="15" t="s">
        <v>64</v>
      </c>
    </row>
    <row r="5" customFormat="false" ht="15" hidden="false" customHeight="false" outlineLevel="0" collapsed="false">
      <c r="A5" s="15" t="s">
        <v>5</v>
      </c>
      <c r="B5" s="15" t="s">
        <v>54</v>
      </c>
      <c r="C5" s="15" t="s">
        <v>55</v>
      </c>
      <c r="D5" s="16" t="n">
        <v>46302.5416666667</v>
      </c>
      <c r="E5" s="15" t="s">
        <v>59</v>
      </c>
      <c r="F5" s="15" t="n">
        <v>1</v>
      </c>
      <c r="G5" s="18" t="s">
        <v>64</v>
      </c>
      <c r="H5" s="15" t="s">
        <v>28</v>
      </c>
      <c r="I5" s="15" t="s">
        <v>29</v>
      </c>
      <c r="J5" s="15" t="s">
        <v>27</v>
      </c>
      <c r="K5" s="20" t="n">
        <v>17730</v>
      </c>
      <c r="L5" s="18" t="n">
        <v>21</v>
      </c>
      <c r="M5" s="18" t="n">
        <v>372330</v>
      </c>
      <c r="N5" s="15" t="s">
        <v>64</v>
      </c>
    </row>
    <row r="6" customFormat="false" ht="15" hidden="false" customHeight="false" outlineLevel="0" collapsed="false">
      <c r="A6" s="15" t="s">
        <v>5</v>
      </c>
      <c r="B6" s="15" t="s">
        <v>54</v>
      </c>
      <c r="C6" s="15" t="s">
        <v>55</v>
      </c>
      <c r="D6" s="16" t="n">
        <v>46302.5416666667</v>
      </c>
      <c r="E6" s="15" t="s">
        <v>59</v>
      </c>
      <c r="F6" s="15" t="n">
        <v>1</v>
      </c>
      <c r="G6" s="18" t="s">
        <v>64</v>
      </c>
      <c r="H6" s="15" t="s">
        <v>30</v>
      </c>
      <c r="I6" s="15" t="s">
        <v>31</v>
      </c>
      <c r="J6" s="15" t="s">
        <v>32</v>
      </c>
      <c r="K6" s="20" t="n">
        <v>1</v>
      </c>
      <c r="L6" s="18" t="n">
        <v>29500</v>
      </c>
      <c r="M6" s="18" t="n">
        <v>29500</v>
      </c>
      <c r="N6" s="15" t="s">
        <v>64</v>
      </c>
    </row>
    <row r="7" customFormat="false" ht="15" hidden="false" customHeight="false" outlineLevel="0" collapsed="false">
      <c r="A7" s="15" t="s">
        <v>5</v>
      </c>
      <c r="B7" s="15" t="s">
        <v>54</v>
      </c>
      <c r="C7" s="15" t="s">
        <v>55</v>
      </c>
      <c r="D7" s="16" t="n">
        <v>46302.5416666667</v>
      </c>
      <c r="E7" s="15" t="s">
        <v>59</v>
      </c>
      <c r="F7" s="15" t="n">
        <v>1</v>
      </c>
      <c r="G7" s="18" t="s">
        <v>64</v>
      </c>
      <c r="H7" s="15" t="s">
        <v>33</v>
      </c>
      <c r="I7" s="15" t="s">
        <v>34</v>
      </c>
      <c r="J7" s="15" t="s">
        <v>32</v>
      </c>
      <c r="K7" s="20" t="n">
        <v>3</v>
      </c>
      <c r="L7" s="18" t="n">
        <v>2250</v>
      </c>
      <c r="M7" s="18" t="n">
        <v>6750</v>
      </c>
      <c r="N7" s="15" t="s">
        <v>64</v>
      </c>
    </row>
    <row r="8" customFormat="false" ht="15" hidden="false" customHeight="false" outlineLevel="0" collapsed="false">
      <c r="A8" s="15" t="s">
        <v>5</v>
      </c>
      <c r="B8" s="15" t="s">
        <v>54</v>
      </c>
      <c r="C8" s="15" t="s">
        <v>55</v>
      </c>
      <c r="D8" s="16" t="n">
        <v>46302.5416666667</v>
      </c>
      <c r="E8" s="15" t="s">
        <v>59</v>
      </c>
      <c r="F8" s="15" t="n">
        <v>1</v>
      </c>
      <c r="G8" s="18" t="s">
        <v>64</v>
      </c>
      <c r="H8" s="15" t="s">
        <v>35</v>
      </c>
      <c r="I8" s="15" t="s">
        <v>36</v>
      </c>
      <c r="J8" s="15" t="s">
        <v>32</v>
      </c>
      <c r="K8" s="20" t="n">
        <v>1</v>
      </c>
      <c r="L8" s="18" t="n">
        <v>1850</v>
      </c>
      <c r="M8" s="18" t="n">
        <v>1850</v>
      </c>
      <c r="N8" s="15" t="s">
        <v>64</v>
      </c>
    </row>
    <row r="9" customFormat="false" ht="15" hidden="false" customHeight="false" outlineLevel="0" collapsed="false">
      <c r="A9" s="15" t="s">
        <v>5</v>
      </c>
      <c r="B9" s="15" t="s">
        <v>54</v>
      </c>
      <c r="C9" s="15" t="s">
        <v>55</v>
      </c>
      <c r="D9" s="16" t="n">
        <v>46302.5416666667</v>
      </c>
      <c r="E9" s="15" t="s">
        <v>59</v>
      </c>
      <c r="F9" s="15" t="n">
        <v>1</v>
      </c>
      <c r="G9" s="18" t="s">
        <v>64</v>
      </c>
      <c r="H9" s="15" t="s">
        <v>37</v>
      </c>
      <c r="I9" s="15" t="s">
        <v>38</v>
      </c>
      <c r="J9" s="15" t="s">
        <v>27</v>
      </c>
      <c r="K9" s="20" t="n">
        <v>17630</v>
      </c>
      <c r="L9" s="18" t="n">
        <v>3</v>
      </c>
      <c r="M9" s="18" t="n">
        <v>52890</v>
      </c>
      <c r="N9" s="15" t="s">
        <v>64</v>
      </c>
    </row>
    <row r="10" customFormat="false" ht="15" hidden="false" customHeight="false" outlineLevel="0" collapsed="false">
      <c r="A10" s="15" t="s">
        <v>5</v>
      </c>
      <c r="B10" s="15" t="s">
        <v>54</v>
      </c>
      <c r="C10" s="15" t="s">
        <v>55</v>
      </c>
      <c r="D10" s="16" t="n">
        <v>46302.5416666667</v>
      </c>
      <c r="E10" s="15" t="s">
        <v>59</v>
      </c>
      <c r="F10" s="15" t="n">
        <v>1</v>
      </c>
      <c r="G10" s="18" t="s">
        <v>64</v>
      </c>
      <c r="H10" s="15" t="s">
        <v>39</v>
      </c>
      <c r="I10" s="15" t="s">
        <v>40</v>
      </c>
      <c r="J10" s="15" t="s">
        <v>32</v>
      </c>
      <c r="K10" s="20" t="n">
        <v>3</v>
      </c>
      <c r="L10" s="18" t="n">
        <v>47500</v>
      </c>
      <c r="M10" s="18" t="n">
        <v>142500</v>
      </c>
      <c r="N10" s="15" t="s">
        <v>64</v>
      </c>
    </row>
    <row r="11" customFormat="false" ht="15" hidden="false" customHeight="false" outlineLevel="0" collapsed="false">
      <c r="A11" s="15" t="s">
        <v>5</v>
      </c>
      <c r="B11" s="15" t="s">
        <v>54</v>
      </c>
      <c r="C11" s="15" t="s">
        <v>55</v>
      </c>
      <c r="D11" s="16" t="n">
        <v>46302.5416666667</v>
      </c>
      <c r="E11" s="15" t="s">
        <v>59</v>
      </c>
      <c r="F11" s="15" t="n">
        <v>1</v>
      </c>
      <c r="G11" s="18" t="s">
        <v>64</v>
      </c>
      <c r="H11" s="15" t="s">
        <v>41</v>
      </c>
      <c r="I11" s="15" t="s">
        <v>42</v>
      </c>
      <c r="J11" s="15" t="s">
        <v>32</v>
      </c>
      <c r="K11" s="20" t="n">
        <v>5</v>
      </c>
      <c r="L11" s="18" t="n">
        <v>2850</v>
      </c>
      <c r="M11" s="18" t="n">
        <v>14250</v>
      </c>
      <c r="N11" s="15" t="s">
        <v>64</v>
      </c>
    </row>
    <row r="12" customFormat="false" ht="15" hidden="false" customHeight="false" outlineLevel="0" collapsed="false">
      <c r="A12" s="15" t="s">
        <v>5</v>
      </c>
      <c r="B12" s="15" t="s">
        <v>54</v>
      </c>
      <c r="C12" s="15" t="s">
        <v>55</v>
      </c>
      <c r="D12" s="16" t="n">
        <v>46302.5416666667</v>
      </c>
      <c r="E12" s="15" t="s">
        <v>59</v>
      </c>
      <c r="F12" s="15" t="n">
        <v>1</v>
      </c>
      <c r="G12" s="18" t="s">
        <v>64</v>
      </c>
      <c r="H12" s="15" t="s">
        <v>45</v>
      </c>
      <c r="I12" s="15" t="s">
        <v>46</v>
      </c>
      <c r="J12" s="15" t="s">
        <v>24</v>
      </c>
      <c r="K12" s="20" t="n">
        <v>1</v>
      </c>
      <c r="L12" s="18" t="n">
        <v>12000</v>
      </c>
      <c r="M12" s="18" t="n">
        <v>12000</v>
      </c>
      <c r="N12" s="15" t="s">
        <v>64</v>
      </c>
    </row>
    <row r="13" customFormat="false" ht="15" hidden="false" customHeight="false" outlineLevel="0" collapsed="false">
      <c r="A13" s="15" t="s">
        <v>5</v>
      </c>
      <c r="B13" s="15" t="s">
        <v>54</v>
      </c>
      <c r="C13" s="15" t="s">
        <v>55</v>
      </c>
      <c r="D13" s="16" t="n">
        <v>46302.5416666667</v>
      </c>
      <c r="E13" s="15" t="s">
        <v>65</v>
      </c>
      <c r="F13" s="15" t="n">
        <v>2</v>
      </c>
      <c r="G13" s="18" t="s">
        <v>66</v>
      </c>
      <c r="H13" s="15" t="s">
        <v>22</v>
      </c>
      <c r="I13" s="15" t="s">
        <v>23</v>
      </c>
      <c r="J13" s="15" t="s">
        <v>24</v>
      </c>
      <c r="K13" s="20" t="n">
        <v>1</v>
      </c>
      <c r="L13" s="18" t="n">
        <v>40000</v>
      </c>
      <c r="M13" s="18" t="n">
        <v>40000</v>
      </c>
      <c r="N13" s="15" t="s">
        <v>64</v>
      </c>
    </row>
    <row r="14" customFormat="false" ht="15" hidden="false" customHeight="false" outlineLevel="0" collapsed="false">
      <c r="A14" s="15" t="s">
        <v>5</v>
      </c>
      <c r="B14" s="15" t="s">
        <v>54</v>
      </c>
      <c r="C14" s="15" t="s">
        <v>55</v>
      </c>
      <c r="D14" s="16" t="n">
        <v>46302.5416666667</v>
      </c>
      <c r="E14" s="15" t="s">
        <v>65</v>
      </c>
      <c r="F14" s="15" t="n">
        <v>2</v>
      </c>
      <c r="G14" s="18" t="s">
        <v>66</v>
      </c>
      <c r="H14" s="15" t="s">
        <v>43</v>
      </c>
      <c r="I14" s="15" t="s">
        <v>44</v>
      </c>
      <c r="J14" s="15" t="s">
        <v>24</v>
      </c>
      <c r="K14" s="20" t="n">
        <v>1</v>
      </c>
      <c r="L14" s="18" t="n">
        <v>2000</v>
      </c>
      <c r="M14" s="18" t="n">
        <v>2000</v>
      </c>
      <c r="N14" s="15" t="s">
        <v>64</v>
      </c>
    </row>
    <row r="15" customFormat="false" ht="15" hidden="false" customHeight="false" outlineLevel="0" collapsed="false">
      <c r="A15" s="15" t="s">
        <v>5</v>
      </c>
      <c r="B15" s="15" t="s">
        <v>54</v>
      </c>
      <c r="C15" s="15" t="s">
        <v>55</v>
      </c>
      <c r="D15" s="16" t="n">
        <v>46302.5416666667</v>
      </c>
      <c r="E15" s="15" t="s">
        <v>65</v>
      </c>
      <c r="F15" s="15" t="n">
        <v>2</v>
      </c>
      <c r="G15" s="18" t="s">
        <v>66</v>
      </c>
      <c r="H15" s="15" t="s">
        <v>25</v>
      </c>
      <c r="I15" s="15" t="s">
        <v>26</v>
      </c>
      <c r="J15" s="15" t="s">
        <v>27</v>
      </c>
      <c r="K15" s="20" t="n">
        <v>18750</v>
      </c>
      <c r="L15" s="18" t="n">
        <v>1</v>
      </c>
      <c r="M15" s="18" t="n">
        <v>18750</v>
      </c>
      <c r="N15" s="15" t="s">
        <v>64</v>
      </c>
    </row>
    <row r="16" customFormat="false" ht="15" hidden="false" customHeight="false" outlineLevel="0" collapsed="false">
      <c r="A16" s="15" t="s">
        <v>5</v>
      </c>
      <c r="B16" s="15" t="s">
        <v>54</v>
      </c>
      <c r="C16" s="15" t="s">
        <v>55</v>
      </c>
      <c r="D16" s="16" t="n">
        <v>46302.5416666667</v>
      </c>
      <c r="E16" s="15" t="s">
        <v>65</v>
      </c>
      <c r="F16" s="15" t="n">
        <v>2</v>
      </c>
      <c r="G16" s="18" t="s">
        <v>66</v>
      </c>
      <c r="H16" s="15" t="s">
        <v>28</v>
      </c>
      <c r="I16" s="15" t="s">
        <v>29</v>
      </c>
      <c r="J16" s="15" t="s">
        <v>27</v>
      </c>
      <c r="K16" s="20" t="n">
        <v>17730</v>
      </c>
      <c r="L16" s="18" t="n">
        <v>25</v>
      </c>
      <c r="M16" s="18" t="n">
        <v>443250</v>
      </c>
      <c r="N16" s="15" t="s">
        <v>64</v>
      </c>
    </row>
    <row r="17" customFormat="false" ht="15" hidden="false" customHeight="false" outlineLevel="0" collapsed="false">
      <c r="A17" s="15" t="s">
        <v>5</v>
      </c>
      <c r="B17" s="15" t="s">
        <v>54</v>
      </c>
      <c r="C17" s="15" t="s">
        <v>55</v>
      </c>
      <c r="D17" s="16" t="n">
        <v>46302.5416666667</v>
      </c>
      <c r="E17" s="15" t="s">
        <v>65</v>
      </c>
      <c r="F17" s="15" t="n">
        <v>2</v>
      </c>
      <c r="G17" s="18" t="s">
        <v>66</v>
      </c>
      <c r="H17" s="15" t="s">
        <v>30</v>
      </c>
      <c r="I17" s="15" t="s">
        <v>31</v>
      </c>
      <c r="J17" s="15" t="s">
        <v>32</v>
      </c>
      <c r="K17" s="20" t="n">
        <v>1</v>
      </c>
      <c r="L17" s="18" t="n">
        <v>25000</v>
      </c>
      <c r="M17" s="18" t="n">
        <v>25000</v>
      </c>
      <c r="N17" s="15" t="s">
        <v>64</v>
      </c>
    </row>
    <row r="18" customFormat="false" ht="15" hidden="false" customHeight="false" outlineLevel="0" collapsed="false">
      <c r="A18" s="15" t="s">
        <v>5</v>
      </c>
      <c r="B18" s="15" t="s">
        <v>54</v>
      </c>
      <c r="C18" s="15" t="s">
        <v>55</v>
      </c>
      <c r="D18" s="16" t="n">
        <v>46302.5416666667</v>
      </c>
      <c r="E18" s="15" t="s">
        <v>65</v>
      </c>
      <c r="F18" s="15" t="n">
        <v>2</v>
      </c>
      <c r="G18" s="18" t="s">
        <v>66</v>
      </c>
      <c r="H18" s="15" t="s">
        <v>33</v>
      </c>
      <c r="I18" s="15" t="s">
        <v>34</v>
      </c>
      <c r="J18" s="15" t="s">
        <v>32</v>
      </c>
      <c r="K18" s="20" t="n">
        <v>3</v>
      </c>
      <c r="L18" s="18" t="n">
        <v>2000</v>
      </c>
      <c r="M18" s="18" t="n">
        <v>6000</v>
      </c>
      <c r="N18" s="15" t="s">
        <v>64</v>
      </c>
    </row>
    <row r="19" customFormat="false" ht="15" hidden="false" customHeight="false" outlineLevel="0" collapsed="false">
      <c r="A19" s="15" t="s">
        <v>5</v>
      </c>
      <c r="B19" s="15" t="s">
        <v>54</v>
      </c>
      <c r="C19" s="15" t="s">
        <v>55</v>
      </c>
      <c r="D19" s="16" t="n">
        <v>46302.5416666667</v>
      </c>
      <c r="E19" s="15" t="s">
        <v>65</v>
      </c>
      <c r="F19" s="15" t="n">
        <v>2</v>
      </c>
      <c r="G19" s="18" t="s">
        <v>66</v>
      </c>
      <c r="H19" s="15" t="s">
        <v>35</v>
      </c>
      <c r="I19" s="15" t="s">
        <v>36</v>
      </c>
      <c r="J19" s="15" t="s">
        <v>32</v>
      </c>
      <c r="K19" s="20" t="n">
        <v>1</v>
      </c>
      <c r="L19" s="18" t="n">
        <v>1500</v>
      </c>
      <c r="M19" s="18" t="n">
        <v>1500</v>
      </c>
      <c r="N19" s="15" t="s">
        <v>64</v>
      </c>
    </row>
    <row r="20" customFormat="false" ht="15" hidden="false" customHeight="false" outlineLevel="0" collapsed="false">
      <c r="A20" s="15" t="s">
        <v>5</v>
      </c>
      <c r="B20" s="15" t="s">
        <v>54</v>
      </c>
      <c r="C20" s="15" t="s">
        <v>55</v>
      </c>
      <c r="D20" s="16" t="n">
        <v>46302.5416666667</v>
      </c>
      <c r="E20" s="15" t="s">
        <v>65</v>
      </c>
      <c r="F20" s="15" t="n">
        <v>2</v>
      </c>
      <c r="G20" s="18" t="s">
        <v>66</v>
      </c>
      <c r="H20" s="15" t="s">
        <v>37</v>
      </c>
      <c r="I20" s="15" t="s">
        <v>38</v>
      </c>
      <c r="J20" s="15" t="s">
        <v>27</v>
      </c>
      <c r="K20" s="20" t="n">
        <v>17630</v>
      </c>
      <c r="L20" s="18" t="n">
        <v>15</v>
      </c>
      <c r="M20" s="18" t="n">
        <v>264450</v>
      </c>
      <c r="N20" s="15" t="s">
        <v>64</v>
      </c>
    </row>
    <row r="21" customFormat="false" ht="15" hidden="false" customHeight="false" outlineLevel="0" collapsed="false">
      <c r="A21" s="15" t="s">
        <v>5</v>
      </c>
      <c r="B21" s="15" t="s">
        <v>54</v>
      </c>
      <c r="C21" s="15" t="s">
        <v>55</v>
      </c>
      <c r="D21" s="16" t="n">
        <v>46302.5416666667</v>
      </c>
      <c r="E21" s="15" t="s">
        <v>65</v>
      </c>
      <c r="F21" s="15" t="n">
        <v>2</v>
      </c>
      <c r="G21" s="18" t="s">
        <v>66</v>
      </c>
      <c r="H21" s="15" t="s">
        <v>39</v>
      </c>
      <c r="I21" s="15" t="s">
        <v>40</v>
      </c>
      <c r="J21" s="15" t="s">
        <v>32</v>
      </c>
      <c r="K21" s="20" t="n">
        <v>3</v>
      </c>
      <c r="L21" s="18" t="n">
        <v>20500</v>
      </c>
      <c r="M21" s="18" t="n">
        <v>61500</v>
      </c>
      <c r="N21" s="15" t="s">
        <v>64</v>
      </c>
    </row>
    <row r="22" customFormat="false" ht="15" hidden="false" customHeight="false" outlineLevel="0" collapsed="false">
      <c r="A22" s="15" t="s">
        <v>5</v>
      </c>
      <c r="B22" s="15" t="s">
        <v>54</v>
      </c>
      <c r="C22" s="15" t="s">
        <v>55</v>
      </c>
      <c r="D22" s="16" t="n">
        <v>46302.5416666667</v>
      </c>
      <c r="E22" s="15" t="s">
        <v>65</v>
      </c>
      <c r="F22" s="15" t="n">
        <v>2</v>
      </c>
      <c r="G22" s="18" t="s">
        <v>66</v>
      </c>
      <c r="H22" s="15" t="s">
        <v>41</v>
      </c>
      <c r="I22" s="15" t="s">
        <v>42</v>
      </c>
      <c r="J22" s="15" t="s">
        <v>32</v>
      </c>
      <c r="K22" s="20" t="n">
        <v>5</v>
      </c>
      <c r="L22" s="18" t="n">
        <v>5000</v>
      </c>
      <c r="M22" s="18" t="n">
        <v>25000</v>
      </c>
      <c r="N22" s="15" t="s">
        <v>64</v>
      </c>
    </row>
    <row r="23" customFormat="false" ht="15" hidden="false" customHeight="false" outlineLevel="0" collapsed="false">
      <c r="A23" s="15" t="s">
        <v>5</v>
      </c>
      <c r="B23" s="15" t="s">
        <v>54</v>
      </c>
      <c r="C23" s="15" t="s">
        <v>55</v>
      </c>
      <c r="D23" s="16" t="n">
        <v>46302.5416666667</v>
      </c>
      <c r="E23" s="15" t="s">
        <v>65</v>
      </c>
      <c r="F23" s="15" t="n">
        <v>2</v>
      </c>
      <c r="G23" s="18" t="s">
        <v>66</v>
      </c>
      <c r="H23" s="15" t="s">
        <v>45</v>
      </c>
      <c r="I23" s="15" t="s">
        <v>46</v>
      </c>
      <c r="J23" s="15" t="s">
        <v>24</v>
      </c>
      <c r="K23" s="20" t="n">
        <v>1</v>
      </c>
      <c r="L23" s="18" t="n">
        <v>5000</v>
      </c>
      <c r="M23" s="18" t="n">
        <v>5000</v>
      </c>
      <c r="N23" s="15" t="s">
        <v>64</v>
      </c>
    </row>
    <row r="24" customFormat="false" ht="15" hidden="false" customHeight="false" outlineLevel="0" collapsed="false">
      <c r="A24" s="15" t="s">
        <v>5</v>
      </c>
      <c r="B24" s="15" t="s">
        <v>54</v>
      </c>
      <c r="C24" s="15" t="s">
        <v>55</v>
      </c>
      <c r="D24" s="16" t="n">
        <v>46302.5416666667</v>
      </c>
      <c r="E24" s="15" t="s">
        <v>67</v>
      </c>
      <c r="F24" s="15" t="n">
        <v>3</v>
      </c>
      <c r="G24" s="18" t="s">
        <v>66</v>
      </c>
      <c r="H24" s="15" t="s">
        <v>22</v>
      </c>
      <c r="I24" s="15" t="s">
        <v>23</v>
      </c>
      <c r="J24" s="15" t="s">
        <v>24</v>
      </c>
      <c r="K24" s="20" t="n">
        <v>1</v>
      </c>
      <c r="L24" s="18" t="n">
        <v>150000</v>
      </c>
      <c r="M24" s="18" t="n">
        <v>150000</v>
      </c>
      <c r="N24" s="15" t="s">
        <v>64</v>
      </c>
    </row>
    <row r="25" customFormat="false" ht="15" hidden="false" customHeight="false" outlineLevel="0" collapsed="false">
      <c r="A25" s="15" t="s">
        <v>5</v>
      </c>
      <c r="B25" s="15" t="s">
        <v>54</v>
      </c>
      <c r="C25" s="15" t="s">
        <v>55</v>
      </c>
      <c r="D25" s="16" t="n">
        <v>46302.5416666667</v>
      </c>
      <c r="E25" s="15" t="s">
        <v>67</v>
      </c>
      <c r="F25" s="15" t="n">
        <v>3</v>
      </c>
      <c r="G25" s="18" t="s">
        <v>66</v>
      </c>
      <c r="H25" s="15" t="s">
        <v>43</v>
      </c>
      <c r="I25" s="15" t="s">
        <v>44</v>
      </c>
      <c r="J25" s="15" t="s">
        <v>24</v>
      </c>
      <c r="K25" s="20" t="n">
        <v>1</v>
      </c>
      <c r="L25" s="18" t="n">
        <v>50000</v>
      </c>
      <c r="M25" s="18" t="n">
        <v>50000</v>
      </c>
      <c r="N25" s="15" t="s">
        <v>64</v>
      </c>
    </row>
    <row r="26" customFormat="false" ht="15" hidden="false" customHeight="false" outlineLevel="0" collapsed="false">
      <c r="A26" s="15" t="s">
        <v>5</v>
      </c>
      <c r="B26" s="15" t="s">
        <v>54</v>
      </c>
      <c r="C26" s="15" t="s">
        <v>55</v>
      </c>
      <c r="D26" s="16" t="n">
        <v>46302.5416666667</v>
      </c>
      <c r="E26" s="15" t="s">
        <v>67</v>
      </c>
      <c r="F26" s="15" t="n">
        <v>3</v>
      </c>
      <c r="G26" s="18" t="s">
        <v>66</v>
      </c>
      <c r="H26" s="15" t="s">
        <v>25</v>
      </c>
      <c r="I26" s="15" t="s">
        <v>26</v>
      </c>
      <c r="J26" s="15" t="s">
        <v>27</v>
      </c>
      <c r="K26" s="20" t="n">
        <v>18750</v>
      </c>
      <c r="L26" s="18" t="n">
        <v>5</v>
      </c>
      <c r="M26" s="18" t="n">
        <v>93750</v>
      </c>
      <c r="N26" s="15" t="s">
        <v>64</v>
      </c>
    </row>
    <row r="27" customFormat="false" ht="15" hidden="false" customHeight="false" outlineLevel="0" collapsed="false">
      <c r="A27" s="15" t="s">
        <v>5</v>
      </c>
      <c r="B27" s="15" t="s">
        <v>54</v>
      </c>
      <c r="C27" s="15" t="s">
        <v>55</v>
      </c>
      <c r="D27" s="16" t="n">
        <v>46302.5416666667</v>
      </c>
      <c r="E27" s="15" t="s">
        <v>67</v>
      </c>
      <c r="F27" s="15" t="n">
        <v>3</v>
      </c>
      <c r="G27" s="18" t="s">
        <v>66</v>
      </c>
      <c r="H27" s="15" t="s">
        <v>28</v>
      </c>
      <c r="I27" s="15" t="s">
        <v>29</v>
      </c>
      <c r="J27" s="15" t="s">
        <v>27</v>
      </c>
      <c r="K27" s="20" t="n">
        <v>17730</v>
      </c>
      <c r="L27" s="18" t="n">
        <v>34</v>
      </c>
      <c r="M27" s="18" t="n">
        <v>602820</v>
      </c>
      <c r="N27" s="15" t="s">
        <v>64</v>
      </c>
    </row>
    <row r="28" customFormat="false" ht="15" hidden="false" customHeight="false" outlineLevel="0" collapsed="false">
      <c r="A28" s="15" t="s">
        <v>5</v>
      </c>
      <c r="B28" s="15" t="s">
        <v>54</v>
      </c>
      <c r="C28" s="15" t="s">
        <v>55</v>
      </c>
      <c r="D28" s="16" t="n">
        <v>46302.5416666667</v>
      </c>
      <c r="E28" s="15" t="s">
        <v>67</v>
      </c>
      <c r="F28" s="15" t="n">
        <v>3</v>
      </c>
      <c r="G28" s="18" t="s">
        <v>66</v>
      </c>
      <c r="H28" s="15" t="s">
        <v>30</v>
      </c>
      <c r="I28" s="15" t="s">
        <v>31</v>
      </c>
      <c r="J28" s="15" t="s">
        <v>32</v>
      </c>
      <c r="K28" s="20" t="n">
        <v>1</v>
      </c>
      <c r="L28" s="18" t="n">
        <v>100000</v>
      </c>
      <c r="M28" s="18" t="n">
        <v>100000</v>
      </c>
      <c r="N28" s="15" t="s">
        <v>64</v>
      </c>
    </row>
    <row r="29" customFormat="false" ht="15" hidden="false" customHeight="false" outlineLevel="0" collapsed="false">
      <c r="A29" s="15" t="s">
        <v>5</v>
      </c>
      <c r="B29" s="15" t="s">
        <v>54</v>
      </c>
      <c r="C29" s="15" t="s">
        <v>55</v>
      </c>
      <c r="D29" s="16" t="n">
        <v>46302.5416666667</v>
      </c>
      <c r="E29" s="15" t="s">
        <v>67</v>
      </c>
      <c r="F29" s="15" t="n">
        <v>3</v>
      </c>
      <c r="G29" s="18" t="s">
        <v>66</v>
      </c>
      <c r="H29" s="15" t="s">
        <v>33</v>
      </c>
      <c r="I29" s="15" t="s">
        <v>34</v>
      </c>
      <c r="J29" s="15" t="s">
        <v>32</v>
      </c>
      <c r="K29" s="20" t="n">
        <v>3</v>
      </c>
      <c r="L29" s="18" t="n">
        <v>3200</v>
      </c>
      <c r="M29" s="18" t="n">
        <v>9600</v>
      </c>
      <c r="N29" s="15" t="s">
        <v>64</v>
      </c>
    </row>
    <row r="30" customFormat="false" ht="15" hidden="false" customHeight="false" outlineLevel="0" collapsed="false">
      <c r="A30" s="15" t="s">
        <v>5</v>
      </c>
      <c r="B30" s="15" t="s">
        <v>54</v>
      </c>
      <c r="C30" s="15" t="s">
        <v>55</v>
      </c>
      <c r="D30" s="16" t="n">
        <v>46302.5416666667</v>
      </c>
      <c r="E30" s="15" t="s">
        <v>67</v>
      </c>
      <c r="F30" s="15" t="n">
        <v>3</v>
      </c>
      <c r="G30" s="18" t="s">
        <v>66</v>
      </c>
      <c r="H30" s="15" t="s">
        <v>35</v>
      </c>
      <c r="I30" s="15" t="s">
        <v>36</v>
      </c>
      <c r="J30" s="15" t="s">
        <v>32</v>
      </c>
      <c r="K30" s="20" t="n">
        <v>1</v>
      </c>
      <c r="L30" s="18" t="n">
        <v>2000</v>
      </c>
      <c r="M30" s="18" t="n">
        <v>2000</v>
      </c>
      <c r="N30" s="15" t="s">
        <v>64</v>
      </c>
    </row>
    <row r="31" customFormat="false" ht="15" hidden="false" customHeight="false" outlineLevel="0" collapsed="false">
      <c r="A31" s="15" t="s">
        <v>5</v>
      </c>
      <c r="B31" s="15" t="s">
        <v>54</v>
      </c>
      <c r="C31" s="15" t="s">
        <v>55</v>
      </c>
      <c r="D31" s="16" t="n">
        <v>46302.5416666667</v>
      </c>
      <c r="E31" s="15" t="s">
        <v>67</v>
      </c>
      <c r="F31" s="15" t="n">
        <v>3</v>
      </c>
      <c r="G31" s="18" t="s">
        <v>66</v>
      </c>
      <c r="H31" s="15" t="s">
        <v>37</v>
      </c>
      <c r="I31" s="15" t="s">
        <v>38</v>
      </c>
      <c r="J31" s="15" t="s">
        <v>27</v>
      </c>
      <c r="K31" s="20" t="n">
        <v>17630</v>
      </c>
      <c r="L31" s="18" t="n">
        <v>25</v>
      </c>
      <c r="M31" s="18" t="n">
        <v>440750</v>
      </c>
      <c r="N31" s="15" t="s">
        <v>64</v>
      </c>
    </row>
    <row r="32" customFormat="false" ht="15" hidden="false" customHeight="false" outlineLevel="0" collapsed="false">
      <c r="A32" s="15" t="s">
        <v>5</v>
      </c>
      <c r="B32" s="15" t="s">
        <v>54</v>
      </c>
      <c r="C32" s="15" t="s">
        <v>55</v>
      </c>
      <c r="D32" s="16" t="n">
        <v>46302.5416666667</v>
      </c>
      <c r="E32" s="15" t="s">
        <v>67</v>
      </c>
      <c r="F32" s="15" t="n">
        <v>3</v>
      </c>
      <c r="G32" s="18" t="s">
        <v>66</v>
      </c>
      <c r="H32" s="15" t="s">
        <v>39</v>
      </c>
      <c r="I32" s="15" t="s">
        <v>40</v>
      </c>
      <c r="J32" s="15" t="s">
        <v>32</v>
      </c>
      <c r="K32" s="20" t="n">
        <v>3</v>
      </c>
      <c r="L32" s="18" t="n">
        <v>45000</v>
      </c>
      <c r="M32" s="18" t="n">
        <v>135000</v>
      </c>
      <c r="N32" s="15" t="s">
        <v>64</v>
      </c>
    </row>
    <row r="33" customFormat="false" ht="15" hidden="false" customHeight="false" outlineLevel="0" collapsed="false">
      <c r="A33" s="15" t="s">
        <v>5</v>
      </c>
      <c r="B33" s="15" t="s">
        <v>54</v>
      </c>
      <c r="C33" s="15" t="s">
        <v>55</v>
      </c>
      <c r="D33" s="16" t="n">
        <v>46302.5416666667</v>
      </c>
      <c r="E33" s="15" t="s">
        <v>67</v>
      </c>
      <c r="F33" s="15" t="n">
        <v>3</v>
      </c>
      <c r="G33" s="18" t="s">
        <v>66</v>
      </c>
      <c r="H33" s="15" t="s">
        <v>41</v>
      </c>
      <c r="I33" s="15" t="s">
        <v>42</v>
      </c>
      <c r="J33" s="15" t="s">
        <v>32</v>
      </c>
      <c r="K33" s="20" t="n">
        <v>5</v>
      </c>
      <c r="L33" s="18" t="n">
        <v>6000</v>
      </c>
      <c r="M33" s="18" t="n">
        <v>30000</v>
      </c>
      <c r="N33" s="15" t="s">
        <v>64</v>
      </c>
    </row>
    <row r="34" customFormat="false" ht="15" hidden="false" customHeight="false" outlineLevel="0" collapsed="false">
      <c r="A34" s="15" t="s">
        <v>5</v>
      </c>
      <c r="B34" s="15" t="s">
        <v>54</v>
      </c>
      <c r="C34" s="15" t="s">
        <v>55</v>
      </c>
      <c r="D34" s="16" t="n">
        <v>46302.5416666667</v>
      </c>
      <c r="E34" s="15" t="s">
        <v>67</v>
      </c>
      <c r="F34" s="15" t="n">
        <v>3</v>
      </c>
      <c r="G34" s="18" t="s">
        <v>66</v>
      </c>
      <c r="H34" s="15" t="s">
        <v>45</v>
      </c>
      <c r="I34" s="15" t="s">
        <v>46</v>
      </c>
      <c r="J34" s="15" t="s">
        <v>24</v>
      </c>
      <c r="K34" s="20" t="n">
        <v>1</v>
      </c>
      <c r="L34" s="18" t="n">
        <v>50000</v>
      </c>
      <c r="M34" s="18" t="n">
        <v>50000</v>
      </c>
      <c r="N34" s="15" t="s">
        <v>64</v>
      </c>
    </row>
  </sheetData>
  <autoFilter ref="A1:N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2026-10-19T02:14:17Z</dcterms:created>
  <dc:creator>openpyxl</dc:creator>
  <dc:description/>
  <dc:language>en-US</dc:language>
  <cp:lastModifiedBy/>
  <dcterms:modified xsi:type="dcterms:W3CDTF">2026-10-19T02:14:17Z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