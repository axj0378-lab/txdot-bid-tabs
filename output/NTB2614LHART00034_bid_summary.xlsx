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d Summary" sheetId="1" state="visible" r:id="rId1"/>
    <sheet name="Extraction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"/>
    <numFmt numFmtId="165" formatCode="$#,##0.00;($#,##0.00);&quot;-&quot;"/>
    <numFmt numFmtId="166" formatCode="0.0%;-0.0%;&quot;-&quot;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165" fontId="3" fillId="3" borderId="1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165" fontId="2" fillId="3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" fontId="3" fillId="3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4"/>
  <sheetViews>
    <sheetView showGridLines="0"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7" customWidth="1" min="3" max="3"/>
    <col width="44" customWidth="1" min="4" max="4"/>
    <col width="15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</cols>
  <sheetData>
    <row r="1">
      <c r="A1" s="1" t="inlineStr">
        <is>
          <t>Bid Tabulation: Lockhart Municipal Airport</t>
        </is>
      </c>
    </row>
    <row r="3">
      <c r="A3" s="2" t="inlineStr">
        <is>
          <t>Project ID</t>
        </is>
      </c>
      <c r="B3" s="3" t="inlineStr">
        <is>
          <t>NTB2614LHART00034</t>
        </is>
      </c>
    </row>
    <row r="4">
      <c r="A4" s="2" t="inlineStr">
        <is>
          <t>TxDOT CSJ #</t>
        </is>
      </c>
      <c r="B4" s="3" t="inlineStr">
        <is>
          <t>2614LHART</t>
        </is>
      </c>
    </row>
    <row r="5">
      <c r="A5" s="2" t="inlineStr">
        <is>
          <t>Project Scope</t>
        </is>
      </c>
      <c r="B5" s="3" t="inlineStr">
        <is>
          <t>Fencing</t>
        </is>
      </c>
    </row>
    <row r="6">
      <c r="A6" s="2" t="inlineStr">
        <is>
          <t>Description</t>
        </is>
      </c>
      <c r="B6" s="3" t="inlineStr">
        <is>
          <t>WILDLIFE FENCING AND GATES</t>
        </is>
      </c>
    </row>
    <row r="7">
      <c r="A7" s="2" t="inlineStr">
        <is>
          <t>Bid Opening</t>
        </is>
      </c>
      <c r="B7" s="3" t="inlineStr">
        <is>
          <t>October 7, 2026 1:00 PM</t>
        </is>
      </c>
    </row>
    <row r="8">
      <c r="A8" s="2" t="inlineStr">
        <is>
          <t>Bid Opening Location</t>
        </is>
      </c>
      <c r="B8" s="3" t="inlineStr">
        <is>
          <t>Stassney</t>
        </is>
      </c>
    </row>
    <row r="9">
      <c r="A9" s="2" t="inlineStr">
        <is>
          <t>Number of Bidders</t>
        </is>
      </c>
      <c r="B9" s="3" t="n">
        <v>3</v>
      </c>
    </row>
    <row r="10">
      <c r="A10" s="2" t="inlineStr">
        <is>
          <t>Low Bidder</t>
        </is>
      </c>
      <c r="B10" s="4" t="inlineStr">
        <is>
          <t>Delta Specialty Contractors LLC  ($686,695.00)</t>
        </is>
      </c>
    </row>
    <row r="12" ht="32" customHeight="1">
      <c r="A12" s="5" t="inlineStr">
        <is>
          <t>Item</t>
        </is>
      </c>
      <c r="B12" s="5" t="inlineStr">
        <is>
          <t>Qty</t>
        </is>
      </c>
      <c r="C12" s="5" t="inlineStr">
        <is>
          <t>Unit</t>
        </is>
      </c>
      <c r="D12" s="5" t="inlineStr">
        <is>
          <t>Description</t>
        </is>
      </c>
      <c r="E12" s="6" t="inlineStr">
        <is>
          <t>Delta Specialty Contractors LLC
LOW BIDDER</t>
        </is>
      </c>
      <c r="F12" s="7" t="n"/>
      <c r="G12" s="8" t="inlineStr">
        <is>
          <t>Fencing Unlimited LLC</t>
        </is>
      </c>
      <c r="H12" s="7" t="n"/>
      <c r="I12" s="8" t="inlineStr">
        <is>
          <t>Digg Commercial LLC</t>
        </is>
      </c>
      <c r="J12" s="7" t="n"/>
    </row>
    <row r="13">
      <c r="A13" s="7" t="n"/>
      <c r="B13" s="7" t="n"/>
      <c r="C13" s="7" t="n"/>
      <c r="D13" s="7" t="n"/>
      <c r="E13" s="9" t="inlineStr">
        <is>
          <t>Unit Price</t>
        </is>
      </c>
      <c r="F13" s="9" t="inlineStr">
        <is>
          <t>Total</t>
        </is>
      </c>
      <c r="G13" s="5" t="inlineStr">
        <is>
          <t>Unit Price</t>
        </is>
      </c>
      <c r="H13" s="5" t="inlineStr">
        <is>
          <t>Total</t>
        </is>
      </c>
      <c r="I13" s="5" t="inlineStr">
        <is>
          <t>Unit Price</t>
        </is>
      </c>
      <c r="J13" s="5" t="inlineStr">
        <is>
          <t>Total</t>
        </is>
      </c>
    </row>
    <row r="14">
      <c r="A14" s="10" t="inlineStr">
        <is>
          <t>C-105</t>
        </is>
      </c>
      <c r="B14" s="11" t="n">
        <v>1</v>
      </c>
      <c r="C14" s="10" t="inlineStr">
        <is>
          <t>LS</t>
        </is>
      </c>
      <c r="D14" s="12" t="inlineStr">
        <is>
          <t>MOBILIZATION</t>
        </is>
      </c>
      <c r="E14" s="13" t="n">
        <v>14000</v>
      </c>
      <c r="F14" s="13">
        <f>B14*E14</f>
        <v/>
      </c>
      <c r="G14" s="14" t="n">
        <v>40000</v>
      </c>
      <c r="H14" s="14">
        <f>B14*G14</f>
        <v/>
      </c>
      <c r="I14" s="14" t="n">
        <v>150000</v>
      </c>
      <c r="J14" s="14">
        <f>B14*I14</f>
        <v/>
      </c>
    </row>
    <row r="15">
      <c r="A15" s="10" t="inlineStr">
        <is>
          <t>TX-100</t>
        </is>
      </c>
      <c r="B15" s="11" t="n">
        <v>1</v>
      </c>
      <c r="C15" s="10" t="inlineStr">
        <is>
          <t>LS</t>
        </is>
      </c>
      <c r="D15" s="12" t="inlineStr">
        <is>
          <t>PREPARING RIGHT OF WAY</t>
        </is>
      </c>
      <c r="E15" s="13" t="n">
        <v>12500</v>
      </c>
      <c r="F15" s="13">
        <f>B15*E15</f>
        <v/>
      </c>
      <c r="G15" s="14" t="n">
        <v>2000</v>
      </c>
      <c r="H15" s="14">
        <f>B15*G15</f>
        <v/>
      </c>
      <c r="I15" s="14" t="n">
        <v>50000</v>
      </c>
      <c r="J15" s="14">
        <f>B15*I15</f>
        <v/>
      </c>
    </row>
    <row r="16">
      <c r="A16" s="10" t="inlineStr">
        <is>
          <t>F-164.1</t>
        </is>
      </c>
      <c r="B16" s="11" t="n">
        <v>18750</v>
      </c>
      <c r="C16" s="10" t="inlineStr">
        <is>
          <t>LF</t>
        </is>
      </c>
      <c r="D16" s="12" t="inlineStr">
        <is>
          <t>REMOVE EXISTING FENCE AND GATES</t>
        </is>
      </c>
      <c r="E16" s="13" t="n">
        <v>1.5</v>
      </c>
      <c r="F16" s="13">
        <f>B16*E16</f>
        <v/>
      </c>
      <c r="G16" s="14" t="n">
        <v>1</v>
      </c>
      <c r="H16" s="14">
        <f>B16*G16</f>
        <v/>
      </c>
      <c r="I16" s="14" t="n">
        <v>5</v>
      </c>
      <c r="J16" s="14">
        <f>B16*I16</f>
        <v/>
      </c>
    </row>
    <row r="17">
      <c r="A17" s="10" t="inlineStr">
        <is>
          <t>F-164.2</t>
        </is>
      </c>
      <c r="B17" s="11" t="n">
        <v>17730</v>
      </c>
      <c r="C17" s="10" t="inlineStr">
        <is>
          <t>LF</t>
        </is>
      </c>
      <c r="D17" s="12" t="inlineStr">
        <is>
          <t>INSTALL 8 FT TALL GAME FENCING</t>
        </is>
      </c>
      <c r="E17" s="13" t="n">
        <v>21</v>
      </c>
      <c r="F17" s="13">
        <f>B17*E17</f>
        <v/>
      </c>
      <c r="G17" s="14" t="n">
        <v>25</v>
      </c>
      <c r="H17" s="14">
        <f>B17*G17</f>
        <v/>
      </c>
      <c r="I17" s="14" t="n">
        <v>34</v>
      </c>
      <c r="J17" s="14">
        <f>B17*I17</f>
        <v/>
      </c>
    </row>
    <row r="18">
      <c r="A18" s="10" t="inlineStr">
        <is>
          <t>F-164.3a</t>
        </is>
      </c>
      <c r="B18" s="11" t="n">
        <v>1</v>
      </c>
      <c r="C18" s="10" t="inlineStr">
        <is>
          <t>EA</t>
        </is>
      </c>
      <c r="D18" s="12" t="inlineStr">
        <is>
          <t>INSTALL NEW AUTOMATED GATE AND ASSOCIATED ELECTRICAL</t>
        </is>
      </c>
      <c r="E18" s="13" t="n">
        <v>29500</v>
      </c>
      <c r="F18" s="13">
        <f>B18*E18</f>
        <v/>
      </c>
      <c r="G18" s="14" t="n">
        <v>25000</v>
      </c>
      <c r="H18" s="14">
        <f>B18*G18</f>
        <v/>
      </c>
      <c r="I18" s="14" t="n">
        <v>100000</v>
      </c>
      <c r="J18" s="14">
        <f>B18*I18</f>
        <v/>
      </c>
    </row>
    <row r="19">
      <c r="A19" s="10" t="inlineStr">
        <is>
          <t>F-164.3b</t>
        </is>
      </c>
      <c r="B19" s="11" t="n">
        <v>3</v>
      </c>
      <c r="C19" s="10" t="inlineStr">
        <is>
          <t>EA</t>
        </is>
      </c>
      <c r="D19" s="12" t="inlineStr">
        <is>
          <t>INSTALL 16' SWING GATE</t>
        </is>
      </c>
      <c r="E19" s="13" t="n">
        <v>2250</v>
      </c>
      <c r="F19" s="13">
        <f>B19*E19</f>
        <v/>
      </c>
      <c r="G19" s="14" t="n">
        <v>2000</v>
      </c>
      <c r="H19" s="14">
        <f>B19*G19</f>
        <v/>
      </c>
      <c r="I19" s="14" t="n">
        <v>3200</v>
      </c>
      <c r="J19" s="14">
        <f>B19*I19</f>
        <v/>
      </c>
    </row>
    <row r="20">
      <c r="A20" s="10" t="inlineStr">
        <is>
          <t>F-164.3c</t>
        </is>
      </c>
      <c r="B20" s="11" t="n">
        <v>1</v>
      </c>
      <c r="C20" s="10" t="inlineStr">
        <is>
          <t>EA</t>
        </is>
      </c>
      <c r="D20" s="12" t="inlineStr">
        <is>
          <t>INSTALL PEDESTRIAN GATE</t>
        </is>
      </c>
      <c r="E20" s="13" t="n">
        <v>1850</v>
      </c>
      <c r="F20" s="13">
        <f>B20*E20</f>
        <v/>
      </c>
      <c r="G20" s="14" t="n">
        <v>1500</v>
      </c>
      <c r="H20" s="14">
        <f>B20*G20</f>
        <v/>
      </c>
      <c r="I20" s="14" t="n">
        <v>2000</v>
      </c>
      <c r="J20" s="14">
        <f>B20*I20</f>
        <v/>
      </c>
    </row>
    <row r="21">
      <c r="A21" s="10" t="inlineStr">
        <is>
          <t>F-164.4</t>
        </is>
      </c>
      <c r="B21" s="11" t="n">
        <v>17630</v>
      </c>
      <c r="C21" s="10" t="inlineStr">
        <is>
          <t>LF</t>
        </is>
      </c>
      <c r="D21" s="12" t="inlineStr">
        <is>
          <t>INSTALL PREDATOR APRON</t>
        </is>
      </c>
      <c r="E21" s="13" t="n">
        <v>3</v>
      </c>
      <c r="F21" s="13">
        <f>B21*E21</f>
        <v/>
      </c>
      <c r="G21" s="14" t="n">
        <v>15</v>
      </c>
      <c r="H21" s="14">
        <f>B21*G21</f>
        <v/>
      </c>
      <c r="I21" s="14" t="n">
        <v>25</v>
      </c>
      <c r="J21" s="14">
        <f>B21*I21</f>
        <v/>
      </c>
    </row>
    <row r="22">
      <c r="A22" s="10" t="inlineStr">
        <is>
          <t>F-164.5</t>
        </is>
      </c>
      <c r="B22" s="11" t="n">
        <v>3</v>
      </c>
      <c r="C22" s="10" t="inlineStr">
        <is>
          <t>EA</t>
        </is>
      </c>
      <c r="D22" s="12" t="inlineStr">
        <is>
          <t>INSTALL WATER GAP</t>
        </is>
      </c>
      <c r="E22" s="13" t="n">
        <v>47500</v>
      </c>
      <c r="F22" s="13">
        <f>B22*E22</f>
        <v/>
      </c>
      <c r="G22" s="14" t="n">
        <v>20500</v>
      </c>
      <c r="H22" s="14">
        <f>B22*G22</f>
        <v/>
      </c>
      <c r="I22" s="14" t="n">
        <v>45000</v>
      </c>
      <c r="J22" s="14">
        <f>B22*I22</f>
        <v/>
      </c>
    </row>
    <row r="23">
      <c r="A23" s="10" t="inlineStr">
        <is>
          <t>L-125</t>
        </is>
      </c>
      <c r="B23" s="11" t="n">
        <v>5</v>
      </c>
      <c r="C23" s="10" t="inlineStr">
        <is>
          <t>EA</t>
        </is>
      </c>
      <c r="D23" s="12" t="inlineStr">
        <is>
          <t>INSTALL SOLAR POWERED OBSTRUCTION LIGHT, COMPLETE</t>
        </is>
      </c>
      <c r="E23" s="13" t="n">
        <v>2850</v>
      </c>
      <c r="F23" s="13">
        <f>B23*E23</f>
        <v/>
      </c>
      <c r="G23" s="14" t="n">
        <v>5000</v>
      </c>
      <c r="H23" s="14">
        <f>B23*G23</f>
        <v/>
      </c>
      <c r="I23" s="14" t="n">
        <v>6000</v>
      </c>
      <c r="J23" s="14">
        <f>B23*I23</f>
        <v/>
      </c>
    </row>
    <row r="24">
      <c r="A24" s="10" t="inlineStr">
        <is>
          <t>TX-506</t>
        </is>
      </c>
      <c r="B24" s="11" t="n">
        <v>1</v>
      </c>
      <c r="C24" s="10" t="inlineStr">
        <is>
          <t>LS</t>
        </is>
      </c>
      <c r="D24" s="12" t="inlineStr">
        <is>
          <t>MISCELLANEOUS EROSION CONTROL</t>
        </is>
      </c>
      <c r="E24" s="13" t="n">
        <v>12000</v>
      </c>
      <c r="F24" s="13">
        <f>B24*E24</f>
        <v/>
      </c>
      <c r="G24" s="14" t="n">
        <v>5000</v>
      </c>
      <c r="H24" s="14">
        <f>B24*G24</f>
        <v/>
      </c>
      <c r="I24" s="14" t="n">
        <v>50000</v>
      </c>
      <c r="J24" s="14">
        <f>B24*I24</f>
        <v/>
      </c>
    </row>
    <row r="25">
      <c r="A25" s="15" t="inlineStr">
        <is>
          <t>Total Bid (sum of line items)</t>
        </is>
      </c>
      <c r="F25" s="16">
        <f>SUM(F14:F24)</f>
        <v/>
      </c>
      <c r="H25" s="17">
        <f>SUM(H14:H24)</f>
        <v/>
      </c>
      <c r="J25" s="17">
        <f>SUM(J14:J24)</f>
        <v/>
      </c>
    </row>
    <row r="26">
      <c r="A26" s="15" t="inlineStr">
        <is>
          <t>Base Bid per TxDOT Summary Sheet</t>
        </is>
      </c>
      <c r="F26" s="13" t="n">
        <v>686695</v>
      </c>
      <c r="H26" s="14" t="n">
        <v>892450</v>
      </c>
      <c r="J26" s="14" t="n">
        <v>1663920</v>
      </c>
    </row>
    <row r="27">
      <c r="A27" s="15" t="inlineStr">
        <is>
          <t>Difference (should be $0)</t>
        </is>
      </c>
      <c r="F27" s="13">
        <f>F25-F26</f>
        <v/>
      </c>
      <c r="H27" s="14">
        <f>H25-H26</f>
        <v/>
      </c>
      <c r="J27" s="14">
        <f>J25-J26</f>
        <v/>
      </c>
    </row>
    <row r="28">
      <c r="A28" s="15" t="inlineStr">
        <is>
          <t>Rank</t>
        </is>
      </c>
      <c r="F28" s="18">
        <f>1+(F25&gt;H25)+(F25&gt;J25)</f>
        <v/>
      </c>
      <c r="H28" s="19">
        <f>1+(H25&gt;F25)+(H25&gt;J25)</f>
        <v/>
      </c>
      <c r="J28" s="19">
        <f>1+(J25&gt;F25)+(J25&gt;H25)</f>
        <v/>
      </c>
    </row>
    <row r="29">
      <c r="A29" s="15" t="inlineStr">
        <is>
          <t>Above Low Bid</t>
        </is>
      </c>
      <c r="F29" s="20">
        <f>F25/$F$25-1</f>
        <v/>
      </c>
      <c r="H29" s="21">
        <f>H25/$F$25-1</f>
        <v/>
      </c>
      <c r="J29" s="21">
        <f>J25/$F$25-1</f>
        <v/>
      </c>
    </row>
    <row r="31">
      <c r="A31" s="2" t="inlineStr">
        <is>
          <t>Notes</t>
        </is>
      </c>
    </row>
    <row r="32">
      <c r="A32" s="22" t="inlineStr">
        <is>
          <t>Bidders are ordered low to high by base bid; the low bidder is shaded green.</t>
        </is>
      </c>
    </row>
    <row r="33">
      <c r="A33" s="22" t="inlineStr">
        <is>
          <t>Unit prices were read from scanned bid tabs (OCR) and verified: every bidder's line totals reconcile to the base bid on TxDOT's summary sheet.</t>
        </is>
      </c>
    </row>
    <row r="34">
      <c r="A34" s="23" t="inlineStr">
        <is>
          <t>Source: https://www.dot.state.tx.us/AVN/avninfo/status/construct/ntb2614lhart00034br.pdf. Generated 2026-10-19 16:18.</t>
        </is>
      </c>
    </row>
  </sheetData>
  <mergeCells count="12">
    <mergeCell ref="E12:F12"/>
    <mergeCell ref="I12:J12"/>
    <mergeCell ref="G12:H12"/>
    <mergeCell ref="A27:D27"/>
    <mergeCell ref="A12:A13"/>
    <mergeCell ref="B12:B13"/>
    <mergeCell ref="C12:C13"/>
    <mergeCell ref="A26:D26"/>
    <mergeCell ref="A29:D29"/>
    <mergeCell ref="A25:D25"/>
    <mergeCell ref="D12:D13"/>
    <mergeCell ref="A28:D28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24" t="inlineStr">
        <is>
          <t>Bidder</t>
        </is>
      </c>
      <c r="B1" s="24" t="inlineStr">
        <is>
          <t>Base Bid (summary sheet)</t>
        </is>
      </c>
      <c r="C1" s="24" t="inlineStr">
        <is>
          <t>Sum of OCR line totals</t>
        </is>
      </c>
      <c r="D1" s="24" t="inlineStr">
        <is>
          <t>Verified</t>
        </is>
      </c>
    </row>
    <row r="2">
      <c r="A2" s="25" t="inlineStr">
        <is>
          <t>Digg Commercial LLC</t>
        </is>
      </c>
      <c r="B2" s="26" t="n">
        <v>1663920</v>
      </c>
      <c r="C2" s="26" t="n">
        <v>1663920</v>
      </c>
      <c r="D2" s="25" t="inlineStr">
        <is>
          <t>Yes</t>
        </is>
      </c>
    </row>
    <row r="3">
      <c r="A3" s="25" t="inlineStr">
        <is>
          <t>Delta Specialty Contractors LLC</t>
        </is>
      </c>
      <c r="B3" s="26" t="n">
        <v>686695</v>
      </c>
      <c r="C3" s="26" t="n">
        <v>686695</v>
      </c>
      <c r="D3" s="25" t="inlineStr">
        <is>
          <t>Yes</t>
        </is>
      </c>
    </row>
    <row r="4">
      <c r="A4" s="25" t="inlineStr">
        <is>
          <t>Fencing Unlimited LLC</t>
        </is>
      </c>
      <c r="B4" s="26" t="n">
        <v>892450</v>
      </c>
      <c r="C4" s="26" t="n">
        <v>892450</v>
      </c>
      <c r="D4" s="25" t="inlineStr">
        <is>
          <t>Yes</t>
        </is>
      </c>
    </row>
    <row r="5">
      <c r="A5" s="25" t="n"/>
      <c r="B5" s="25" t="n"/>
      <c r="C5" s="25" t="n"/>
      <c r="D5" s="25" t="n"/>
    </row>
    <row r="6">
      <c r="A6" s="24" t="inlineStr">
        <is>
          <t>Extraction notes</t>
        </is>
      </c>
      <c r="B6" s="25" t="n"/>
      <c r="C6" s="25" t="n"/>
      <c r="D6" s="25" t="n"/>
    </row>
    <row r="7">
      <c r="A7" s="25" t="inlineStr">
        <is>
          <t>row 11: one bidder read as TX-506 qty None; using consensus TX-506 qty 1.0</t>
        </is>
      </c>
      <c r="B7" s="25" t="n"/>
      <c r="C7" s="25" t="n"/>
      <c r="D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2026-10-19T21:18:15Z</dcterms:created>
  <dcterms:modified xsi:type="dcterms:W3CDTF">2026-10-19T21:18:15Z</dcterms:modified>
</cp:coreProperties>
</file>