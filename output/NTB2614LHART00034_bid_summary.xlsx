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d Summary" sheetId="1" state="visible" r:id="rId3"/>
    <sheet name="Extraction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<sst xmlns="http://schemas.openxmlformats.org/spreadsheetml/2006/main" count="83" uniqueCount="66">
  <si>
    <t xml:space="preserve">Bid Tabulation: Lockhart Municipal Airport</t>
  </si>
  <si>
    <t xml:space="preserve">Project ID</t>
  </si>
  <si>
    <t xml:space="preserve">NTB2614LHART00034</t>
  </si>
  <si>
    <t xml:space="preserve">TxDOT CSJ #</t>
  </si>
  <si>
    <t xml:space="preserve">2614LHART</t>
  </si>
  <si>
    <t xml:space="preserve">Project Scope</t>
  </si>
  <si>
    <t xml:space="preserve">Fencing</t>
  </si>
  <si>
    <t xml:space="preserve">Description</t>
  </si>
  <si>
    <t xml:space="preserve">WILDLIFE FENCING AND GATES</t>
  </si>
  <si>
    <t xml:space="preserve">Bid Opening</t>
  </si>
  <si>
    <t xml:space="preserve">October 7, 2026 1:00 PM</t>
  </si>
  <si>
    <t xml:space="preserve">Bid Opening Location</t>
  </si>
  <si>
    <t xml:space="preserve">Stassney</t>
  </si>
  <si>
    <t xml:space="preserve">Number of Bidders</t>
  </si>
  <si>
    <t xml:space="preserve">Low Bidder</t>
  </si>
  <si>
    <t xml:space="preserve">Delta Specialty Contractors LLC  ($686,695.00)</t>
  </si>
  <si>
    <t xml:space="preserve">Item</t>
  </si>
  <si>
    <t xml:space="preserve">Qty</t>
  </si>
  <si>
    <t xml:space="preserve">Unit</t>
  </si>
  <si>
    <t xml:space="preserve">Delta Specialty Contractors LLC
LOW BIDDER</t>
  </si>
  <si>
    <t xml:space="preserve">Fencing Unlimited LLC</t>
  </si>
  <si>
    <t xml:space="preserve">Digg Commercial LLC</t>
  </si>
  <si>
    <t xml:space="preserve">Unit Price</t>
  </si>
  <si>
    <t xml:space="preserve">Total</t>
  </si>
  <si>
    <t xml:space="preserve">C-105</t>
  </si>
  <si>
    <t xml:space="preserve">LS</t>
  </si>
  <si>
    <t xml:space="preserve">MOBILIZATION</t>
  </si>
  <si>
    <t xml:space="preserve">TX-100</t>
  </si>
  <si>
    <t xml:space="preserve">PREPARING RIGHT OF WAY</t>
  </si>
  <si>
    <t xml:space="preserve">F-164.1</t>
  </si>
  <si>
    <t xml:space="preserve">LF</t>
  </si>
  <si>
    <t xml:space="preserve">REMOVE EXISTING FENCE AND GATES</t>
  </si>
  <si>
    <t xml:space="preserve">F-164.2</t>
  </si>
  <si>
    <t xml:space="preserve">INSTALL 8 FT TALL GAME FENCING</t>
  </si>
  <si>
    <t xml:space="preserve">F-164.3a</t>
  </si>
  <si>
    <t xml:space="preserve">EA</t>
  </si>
  <si>
    <t xml:space="preserve">INSTALL NEW AUTOMATED GATE AND ASSOCIATED ELECTRICAL</t>
  </si>
  <si>
    <t xml:space="preserve">F-164.3b</t>
  </si>
  <si>
    <t xml:space="preserve">INSTALL 16' SWING GATE</t>
  </si>
  <si>
    <t xml:space="preserve">F-164.3c</t>
  </si>
  <si>
    <t xml:space="preserve">INSTALL PEDESTRIAN GATE</t>
  </si>
  <si>
    <t xml:space="preserve">F-164.4</t>
  </si>
  <si>
    <t xml:space="preserve">INSTALL PREDATOR APRON</t>
  </si>
  <si>
    <t xml:space="preserve">F-164.5</t>
  </si>
  <si>
    <t xml:space="preserve">INSTALL WATER GAP</t>
  </si>
  <si>
    <t xml:space="preserve">L-125</t>
  </si>
  <si>
    <t xml:space="preserve">INSTALL SOLAR POWERED OBSTRUCTION LIGHT, COMPLETE</t>
  </si>
  <si>
    <t xml:space="preserve">TX-506</t>
  </si>
  <si>
    <t xml:space="preserve">MISCELLANEOUS EROSION CONTROL</t>
  </si>
  <si>
    <t xml:space="preserve">Total Bid (sum of line items)</t>
  </si>
  <si>
    <t xml:space="preserve">Base Bid per TxDOT Summary Sheet</t>
  </si>
  <si>
    <t xml:space="preserve">Difference (should be $0)</t>
  </si>
  <si>
    <t xml:space="preserve">Rank</t>
  </si>
  <si>
    <t xml:space="preserve">Above Low Bid</t>
  </si>
  <si>
    <t xml:space="preserve">Notes</t>
  </si>
  <si>
    <t xml:space="preserve">Bidders are ordered low to high by base bid; the low bidder is shaded green.</t>
  </si>
  <si>
    <t xml:space="preserve">Unit prices were read from scanned bid tabs (OCR) and verified: every bidder's line totals reconcile to the base bid on TxDOT's summary sheet.</t>
  </si>
  <si>
    <t xml:space="preserve">Source: TxDOT Aviation Division bid results. Generated 2026-10-18 21:14.</t>
  </si>
  <si>
    <t xml:space="preserve">Bidder</t>
  </si>
  <si>
    <t xml:space="preserve">Base Bid (summary sheet)</t>
  </si>
  <si>
    <t xml:space="preserve">Sum of OCR line totals</t>
  </si>
  <si>
    <t xml:space="preserve">Verified</t>
  </si>
  <si>
    <t xml:space="preserve">Yes</t>
  </si>
  <si>
    <t xml:space="preserve">Delta Specialty Contractors LLC</t>
  </si>
  <si>
    <t xml:space="preserve">Extraction notes</t>
  </si>
  <si>
    <t xml:space="preserve">row 2: one bidder read as TX-100 qty None; using consensus TX-100 qty 1.0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</si>
</sst>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##"/>
    <numFmt numFmtId="166" formatCode="\$#,##0.00;&quot;($&quot;#,##0.00\);\-"/>
    <numFmt numFmtId="167" formatCode="0"/>
    <numFmt numFmtId="168" formatCode="0.0%;\-0.0%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3" topLeftCell="E14" activePane="bottomRight" state="frozen"/>
      <selection pane="topLeft" activeCell="A1" activeCellId="0" sqref="A1"/>
      <selection pane="topRight" activeCell="E1" activeCellId="0" sqref="E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44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n">
        <v>3</v>
      </c>
    </row>
    <row r="10" customFormat="false" ht="15" hidden="false" customHeight="false" outlineLevel="0" collapsed="false">
      <c r="A10" s="2" t="s">
        <v>14</v>
      </c>
      <c r="B10" s="4" t="s">
        <v>15</v>
      </c>
    </row>
    <row r="12" customFormat="false" ht="31.5" hidden="false" customHeight="true" outlineLevel="0" collapsed="false">
      <c r="A12" s="5" t="s">
        <v>16</v>
      </c>
      <c r="B12" s="5" t="s">
        <v>17</v>
      </c>
      <c r="C12" s="5" t="s">
        <v>18</v>
      </c>
      <c r="D12" s="5" t="s">
        <v>7</v>
      </c>
      <c r="E12" s="6" t="s">
        <v>19</v>
      </c>
      <c r="F12" s="6"/>
      <c r="G12" s="7" t="s">
        <v>20</v>
      </c>
      <c r="H12" s="7"/>
      <c r="I12" s="7" t="s">
        <v>21</v>
      </c>
      <c r="J12" s="7"/>
    </row>
    <row r="13" customFormat="false" ht="15" hidden="false" customHeight="false" outlineLevel="0" collapsed="false">
      <c r="A13" s="5"/>
      <c r="B13" s="5"/>
      <c r="C13" s="5"/>
      <c r="D13" s="5"/>
      <c r="E13" s="8" t="s">
        <v>22</v>
      </c>
      <c r="F13" s="8" t="s">
        <v>23</v>
      </c>
      <c r="G13" s="5" t="s">
        <v>22</v>
      </c>
      <c r="H13" s="5" t="s">
        <v>23</v>
      </c>
      <c r="I13" s="5" t="s">
        <v>22</v>
      </c>
      <c r="J13" s="5" t="s">
        <v>23</v>
      </c>
    </row>
    <row r="14" customFormat="false" ht="15" hidden="false" customHeight="false" outlineLevel="0" collapsed="false">
      <c r="A14" s="9" t="s">
        <v>24</v>
      </c>
      <c r="B14" s="10" t="n">
        <v>1</v>
      </c>
      <c r="C14" s="9" t="s">
        <v>25</v>
      </c>
      <c r="D14" s="11" t="s">
        <v>26</v>
      </c>
      <c r="E14" s="12" t="n">
        <v>14000</v>
      </c>
      <c r="F14" s="12" t="n">
        <f aca="false">B14*E14</f>
        <v>14000</v>
      </c>
      <c r="G14" s="13" t="n">
        <v>40000</v>
      </c>
      <c r="H14" s="13" t="n">
        <f aca="false">B14*G14</f>
        <v>40000</v>
      </c>
      <c r="I14" s="13" t="n">
        <v>150000</v>
      </c>
      <c r="J14" s="13" t="n">
        <f aca="false">B14*I14</f>
        <v>150000</v>
      </c>
    </row>
    <row r="15" customFormat="false" ht="15" hidden="false" customHeight="false" outlineLevel="0" collapsed="false">
      <c r="A15" s="9" t="s">
        <v>27</v>
      </c>
      <c r="B15" s="10" t="n">
        <v>1</v>
      </c>
      <c r="C15" s="9" t="s">
        <v>25</v>
      </c>
      <c r="D15" s="11" t="s">
        <v>28</v>
      </c>
      <c r="E15" s="12" t="n">
        <v>12500</v>
      </c>
      <c r="F15" s="12" t="n">
        <f aca="false">B15*E15</f>
        <v>12500</v>
      </c>
      <c r="G15" s="13" t="n">
        <v>2000</v>
      </c>
      <c r="H15" s="13" t="n">
        <f aca="false">B15*G15</f>
        <v>2000</v>
      </c>
      <c r="I15" s="13" t="n">
        <v>50000</v>
      </c>
      <c r="J15" s="13" t="n">
        <f aca="false">B15*I15</f>
        <v>50000</v>
      </c>
    </row>
    <row r="16" customFormat="false" ht="15" hidden="false" customHeight="false" outlineLevel="0" collapsed="false">
      <c r="A16" s="9" t="s">
        <v>29</v>
      </c>
      <c r="B16" s="10" t="n">
        <v>18750</v>
      </c>
      <c r="C16" s="9" t="s">
        <v>30</v>
      </c>
      <c r="D16" s="11" t="s">
        <v>31</v>
      </c>
      <c r="E16" s="12" t="n">
        <v>1.5</v>
      </c>
      <c r="F16" s="12" t="n">
        <f aca="false">B16*E16</f>
        <v>28125</v>
      </c>
      <c r="G16" s="13" t="n">
        <v>1</v>
      </c>
      <c r="H16" s="13" t="n">
        <f aca="false">B16*G16</f>
        <v>18750</v>
      </c>
      <c r="I16" s="13" t="n">
        <v>5</v>
      </c>
      <c r="J16" s="13" t="n">
        <f aca="false">B16*I16</f>
        <v>93750</v>
      </c>
    </row>
    <row r="17" customFormat="false" ht="15" hidden="false" customHeight="false" outlineLevel="0" collapsed="false">
      <c r="A17" s="9" t="s">
        <v>32</v>
      </c>
      <c r="B17" s="10" t="n">
        <v>17730</v>
      </c>
      <c r="C17" s="9" t="s">
        <v>30</v>
      </c>
      <c r="D17" s="11" t="s">
        <v>33</v>
      </c>
      <c r="E17" s="12" t="n">
        <v>21</v>
      </c>
      <c r="F17" s="12" t="n">
        <f aca="false">B17*E17</f>
        <v>372330</v>
      </c>
      <c r="G17" s="13" t="n">
        <v>25</v>
      </c>
      <c r="H17" s="13" t="n">
        <f aca="false">B17*G17</f>
        <v>443250</v>
      </c>
      <c r="I17" s="13" t="n">
        <v>34</v>
      </c>
      <c r="J17" s="13" t="n">
        <f aca="false">B17*I17</f>
        <v>602820</v>
      </c>
    </row>
    <row r="18" customFormat="false" ht="23.85" hidden="false" customHeight="false" outlineLevel="0" collapsed="false">
      <c r="A18" s="9" t="s">
        <v>34</v>
      </c>
      <c r="B18" s="10" t="n">
        <v>1</v>
      </c>
      <c r="C18" s="9" t="s">
        <v>35</v>
      </c>
      <c r="D18" s="11" t="s">
        <v>36</v>
      </c>
      <c r="E18" s="12" t="n">
        <v>29500</v>
      </c>
      <c r="F18" s="12" t="n">
        <f aca="false">B18*E18</f>
        <v>29500</v>
      </c>
      <c r="G18" s="13" t="n">
        <v>25000</v>
      </c>
      <c r="H18" s="13" t="n">
        <f aca="false">B18*G18</f>
        <v>25000</v>
      </c>
      <c r="I18" s="13" t="n">
        <v>100000</v>
      </c>
      <c r="J18" s="13" t="n">
        <f aca="false">B18*I18</f>
        <v>100000</v>
      </c>
    </row>
    <row r="19" customFormat="false" ht="15" hidden="false" customHeight="false" outlineLevel="0" collapsed="false">
      <c r="A19" s="9" t="s">
        <v>37</v>
      </c>
      <c r="B19" s="10" t="n">
        <v>3</v>
      </c>
      <c r="C19" s="9" t="s">
        <v>35</v>
      </c>
      <c r="D19" s="11" t="s">
        <v>38</v>
      </c>
      <c r="E19" s="12" t="n">
        <v>2250</v>
      </c>
      <c r="F19" s="12" t="n">
        <f aca="false">B19*E19</f>
        <v>6750</v>
      </c>
      <c r="G19" s="13" t="n">
        <v>2000</v>
      </c>
      <c r="H19" s="13" t="n">
        <f aca="false">B19*G19</f>
        <v>6000</v>
      </c>
      <c r="I19" s="13" t="n">
        <v>3200</v>
      </c>
      <c r="J19" s="13" t="n">
        <f aca="false">B19*I19</f>
        <v>9600</v>
      </c>
    </row>
    <row r="20" customFormat="false" ht="15" hidden="false" customHeight="false" outlineLevel="0" collapsed="false">
      <c r="A20" s="9" t="s">
        <v>39</v>
      </c>
      <c r="B20" s="10" t="n">
        <v>1</v>
      </c>
      <c r="C20" s="9" t="s">
        <v>35</v>
      </c>
      <c r="D20" s="11" t="s">
        <v>40</v>
      </c>
      <c r="E20" s="12" t="n">
        <v>1850</v>
      </c>
      <c r="F20" s="12" t="n">
        <f aca="false">B20*E20</f>
        <v>1850</v>
      </c>
      <c r="G20" s="13" t="n">
        <v>1500</v>
      </c>
      <c r="H20" s="13" t="n">
        <f aca="false">B20*G20</f>
        <v>1500</v>
      </c>
      <c r="I20" s="13" t="n">
        <v>2000</v>
      </c>
      <c r="J20" s="13" t="n">
        <f aca="false">B20*I20</f>
        <v>2000</v>
      </c>
    </row>
    <row r="21" customFormat="false" ht="15" hidden="false" customHeight="false" outlineLevel="0" collapsed="false">
      <c r="A21" s="9" t="s">
        <v>41</v>
      </c>
      <c r="B21" s="10" t="n">
        <v>17630</v>
      </c>
      <c r="C21" s="9" t="s">
        <v>30</v>
      </c>
      <c r="D21" s="11" t="s">
        <v>42</v>
      </c>
      <c r="E21" s="12" t="n">
        <v>3</v>
      </c>
      <c r="F21" s="12" t="n">
        <f aca="false">B21*E21</f>
        <v>52890</v>
      </c>
      <c r="G21" s="13" t="n">
        <v>15</v>
      </c>
      <c r="H21" s="13" t="n">
        <f aca="false">B21*G21</f>
        <v>264450</v>
      </c>
      <c r="I21" s="13" t="n">
        <v>25</v>
      </c>
      <c r="J21" s="13" t="n">
        <f aca="false">B21*I21</f>
        <v>440750</v>
      </c>
    </row>
    <row r="22" customFormat="false" ht="15" hidden="false" customHeight="false" outlineLevel="0" collapsed="false">
      <c r="A22" s="9" t="s">
        <v>43</v>
      </c>
      <c r="B22" s="10" t="n">
        <v>3</v>
      </c>
      <c r="C22" s="9" t="s">
        <v>35</v>
      </c>
      <c r="D22" s="11" t="s">
        <v>44</v>
      </c>
      <c r="E22" s="12" t="n">
        <v>47500</v>
      </c>
      <c r="F22" s="12" t="n">
        <f aca="false">B22*E22</f>
        <v>142500</v>
      </c>
      <c r="G22" s="13" t="n">
        <v>20500</v>
      </c>
      <c r="H22" s="13" t="n">
        <f aca="false">B22*G22</f>
        <v>61500</v>
      </c>
      <c r="I22" s="13" t="n">
        <v>45000</v>
      </c>
      <c r="J22" s="13" t="n">
        <f aca="false">B22*I22</f>
        <v>135000</v>
      </c>
    </row>
    <row r="23" customFormat="false" ht="23.85" hidden="false" customHeight="false" outlineLevel="0" collapsed="false">
      <c r="A23" s="9" t="s">
        <v>45</v>
      </c>
      <c r="B23" s="10" t="n">
        <v>5</v>
      </c>
      <c r="C23" s="9" t="s">
        <v>35</v>
      </c>
      <c r="D23" s="11" t="s">
        <v>46</v>
      </c>
      <c r="E23" s="12" t="n">
        <v>2850</v>
      </c>
      <c r="F23" s="12" t="n">
        <f aca="false">B23*E23</f>
        <v>14250</v>
      </c>
      <c r="G23" s="13" t="n">
        <v>5000</v>
      </c>
      <c r="H23" s="13" t="n">
        <f aca="false">B23*G23</f>
        <v>25000</v>
      </c>
      <c r="I23" s="13" t="n">
        <v>6000</v>
      </c>
      <c r="J23" s="13" t="n">
        <f aca="false">B23*I23</f>
        <v>30000</v>
      </c>
    </row>
    <row r="24" customFormat="false" ht="15" hidden="false" customHeight="false" outlineLevel="0" collapsed="false">
      <c r="A24" s="9" t="s">
        <v>47</v>
      </c>
      <c r="B24" s="10" t="n">
        <v>1</v>
      </c>
      <c r="C24" s="9" t="s">
        <v>25</v>
      </c>
      <c r="D24" s="11" t="s">
        <v>48</v>
      </c>
      <c r="E24" s="12" t="n">
        <v>12000</v>
      </c>
      <c r="F24" s="12" t="n">
        <f aca="false">B24*E24</f>
        <v>12000</v>
      </c>
      <c r="G24" s="13" t="n">
        <v>5000</v>
      </c>
      <c r="H24" s="13" t="n">
        <f aca="false">B24*G24</f>
        <v>5000</v>
      </c>
      <c r="I24" s="13" t="n">
        <v>50000</v>
      </c>
      <c r="J24" s="13" t="n">
        <f aca="false">B24*I24</f>
        <v>50000</v>
      </c>
    </row>
    <row r="25" customFormat="false" ht="15" hidden="false" customHeight="false" outlineLevel="0" collapsed="false">
      <c r="A25" s="14" t="s">
        <v>49</v>
      </c>
      <c r="B25" s="14"/>
      <c r="C25" s="14"/>
      <c r="D25" s="14"/>
      <c r="F25" s="15" t="n">
        <f aca="false">SUM(F14:F24)</f>
        <v>686695</v>
      </c>
      <c r="H25" s="16" t="n">
        <f aca="false">SUM(H14:H24)</f>
        <v>892450</v>
      </c>
      <c r="J25" s="16" t="n">
        <f aca="false">SUM(J14:J24)</f>
        <v>1663920</v>
      </c>
    </row>
    <row r="26" customFormat="false" ht="15" hidden="false" customHeight="false" outlineLevel="0" collapsed="false">
      <c r="A26" s="14" t="s">
        <v>50</v>
      </c>
      <c r="B26" s="14"/>
      <c r="C26" s="14"/>
      <c r="D26" s="14"/>
      <c r="F26" s="12" t="n">
        <v>686695</v>
      </c>
      <c r="H26" s="13" t="n">
        <v>892450</v>
      </c>
      <c r="J26" s="13" t="n">
        <v>1663920</v>
      </c>
    </row>
    <row r="27" customFormat="false" ht="15" hidden="false" customHeight="false" outlineLevel="0" collapsed="false">
      <c r="A27" s="14" t="s">
        <v>51</v>
      </c>
      <c r="B27" s="14"/>
      <c r="C27" s="14"/>
      <c r="D27" s="14"/>
      <c r="F27" s="12" t="n">
        <f aca="false">F25-F26</f>
        <v>0</v>
      </c>
      <c r="H27" s="13" t="n">
        <f aca="false">H25-H26</f>
        <v>0</v>
      </c>
      <c r="J27" s="13" t="n">
        <f aca="false">J25-J26</f>
        <v>0</v>
      </c>
    </row>
    <row r="28" customFormat="false" ht="15" hidden="false" customHeight="false" outlineLevel="0" collapsed="false">
      <c r="A28" s="14" t="s">
        <v>52</v>
      </c>
      <c r="B28" s="14"/>
      <c r="C28" s="14"/>
      <c r="D28" s="14"/>
      <c r="F28" s="17" t="n">
        <f aca="false">1+(F25&gt;H25)+(F25&gt;J25)</f>
        <v>1</v>
      </c>
      <c r="H28" s="18" t="n">
        <f aca="false">1+(H25&gt;F25)+(H25&gt;J25)</f>
        <v>2</v>
      </c>
      <c r="J28" s="18" t="n">
        <f aca="false">1+(J25&gt;F25)+(J25&gt;H25)</f>
        <v>3</v>
      </c>
    </row>
    <row r="29" customFormat="false" ht="15" hidden="false" customHeight="false" outlineLevel="0" collapsed="false">
      <c r="A29" s="14" t="s">
        <v>53</v>
      </c>
      <c r="B29" s="14"/>
      <c r="C29" s="14"/>
      <c r="D29" s="14"/>
      <c r="F29" s="19" t="n">
        <f aca="false">F25/$F$25-1</f>
        <v>0</v>
      </c>
      <c r="H29" s="20" t="n">
        <f aca="false">H25/$F$25-1</f>
        <v>0.299630840475029</v>
      </c>
      <c r="J29" s="20" t="n">
        <f aca="false">J25/$F$25-1</f>
        <v>1.42308448437807</v>
      </c>
    </row>
    <row r="31" customFormat="false" ht="15" hidden="false" customHeight="false" outlineLevel="0" collapsed="false">
      <c r="A31" s="2" t="s">
        <v>54</v>
      </c>
    </row>
    <row r="32" customFormat="false" ht="15" hidden="false" customHeight="false" outlineLevel="0" collapsed="false">
      <c r="A32" s="21" t="s">
        <v>55</v>
      </c>
    </row>
    <row r="33" customFormat="false" ht="15" hidden="false" customHeight="false" outlineLevel="0" collapsed="false">
      <c r="A33" s="21" t="s">
        <v>56</v>
      </c>
    </row>
    <row r="34" customFormat="false" ht="15" hidden="false" customHeight="false" outlineLevel="0" collapsed="false">
      <c r="A34" s="22" t="s">
        <v>57</v>
      </c>
    </row>
  </sheetData>
  <mergeCells count="12">
    <mergeCell ref="A12:A13"/>
    <mergeCell ref="B12:B13"/>
    <mergeCell ref="C12:C13"/>
    <mergeCell ref="D12:D13"/>
    <mergeCell ref="E12:F12"/>
    <mergeCell ref="G12:H12"/>
    <mergeCell ref="I12:J12"/>
    <mergeCell ref="A25:D25"/>
    <mergeCell ref="A26:D26"/>
    <mergeCell ref="A27:D2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4"/>
  </cols>
  <sheetData>
    <row r="1" customFormat="false" ht="15" hidden="false" customHeight="false" outlineLevel="0" collapsed="false">
      <c r="A1" s="23" t="s">
        <v>58</v>
      </c>
      <c r="B1" s="23" t="s">
        <v>59</v>
      </c>
      <c r="C1" s="23" t="s">
        <v>60</v>
      </c>
      <c r="D1" s="23" t="s">
        <v>61</v>
      </c>
    </row>
    <row r="2" customFormat="false" ht="15" hidden="false" customHeight="false" outlineLevel="0" collapsed="false">
      <c r="A2" s="24" t="s">
        <v>21</v>
      </c>
      <c r="B2" s="25" t="n">
        <v>1663920</v>
      </c>
      <c r="C2" s="25" t="n">
        <v>1663920</v>
      </c>
      <c r="D2" s="24" t="s">
        <v>62</v>
      </c>
    </row>
    <row r="3" customFormat="false" ht="15" hidden="false" customHeight="false" outlineLevel="0" collapsed="false">
      <c r="A3" s="24" t="s">
        <v>63</v>
      </c>
      <c r="B3" s="25" t="n">
        <v>686695</v>
      </c>
      <c r="C3" s="25" t="n">
        <v>686695</v>
      </c>
      <c r="D3" s="24" t="s">
        <v>62</v>
      </c>
    </row>
    <row r="4" customFormat="false" ht="15" hidden="false" customHeight="false" outlineLevel="0" collapsed="false">
      <c r="A4" s="24" t="s">
        <v>20</v>
      </c>
      <c r="B4" s="25" t="n">
        <v>892450</v>
      </c>
      <c r="C4" s="25" t="n">
        <v>892450</v>
      </c>
      <c r="D4" s="24" t="s">
        <v>62</v>
      </c>
    </row>
    <row r="5" customFormat="false" ht="15" hidden="false" customHeight="false" outlineLevel="0" collapsed="false">
      <c r="A5" s="24"/>
      <c r="B5" s="24"/>
      <c r="C5" s="24"/>
      <c r="D5" s="24"/>
    </row>
    <row r="6" customFormat="false" ht="15" hidden="false" customHeight="false" outlineLevel="0" collapsed="false">
      <c r="A6" s="23" t="s">
        <v>64</v>
      </c>
      <c r="B6" s="24"/>
      <c r="C6" s="24"/>
      <c r="D6" s="24"/>
    </row>
    <row r="7" customFormat="false" ht="15" hidden="false" customHeight="false" outlineLevel="0" collapsed="false">
      <c r="A7" s="24" t="s">
        <v>65</v>
      </c>
      <c r="B7" s="24"/>
      <c r="C7" s="24"/>
      <c r="D7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2026-10-19T02:14:16Z</dcterms:created>
  <dc:creator>openpyxl</dc:creator>
  <dc:description/>
  <dc:language>en-US</dc:language>
  <cp:lastModifiedBy/>
  <dcterms:modified xsi:type="dcterms:W3CDTF">2026-10-19T02:14:16Z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